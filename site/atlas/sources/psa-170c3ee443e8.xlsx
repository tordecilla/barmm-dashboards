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SSA\Downloads\"/>
    </mc:Choice>
  </mc:AlternateContent>
  <xr:revisionPtr revIDLastSave="0" documentId="13_ncr:1_{0A33FF37-C165-487A-8ECE-CC75AEE3E696}" xr6:coauthVersionLast="47" xr6:coauthVersionMax="47" xr10:uidLastSave="{00000000-0000-0000-0000-000000000000}"/>
  <bookViews>
    <workbookView xWindow="28680" yWindow="-120" windowWidth="20730" windowHeight="11040" tabRatio="772" xr2:uid="{262BFFA7-C300-4288-AAF9-F12EC0D45DFB}"/>
  </bookViews>
  <sheets>
    <sheet name="Table7.0" sheetId="9" r:id="rId1"/>
  </sheets>
  <definedNames>
    <definedName name="_xlnm._FilterDatabase" localSheetId="0" hidden="1">Table7.0!$A$1:$A$2407</definedName>
    <definedName name="_xlnm.Print_Titles" localSheetId="0">Table7.0!$1:$8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6" i="9" l="1"/>
  <c r="R166" i="9"/>
  <c r="Q166" i="9"/>
  <c r="P166" i="9"/>
  <c r="O166" i="9"/>
  <c r="N166" i="9"/>
  <c r="J166" i="9"/>
  <c r="I166" i="9"/>
  <c r="H166" i="9"/>
  <c r="G166" i="9"/>
  <c r="F166" i="9"/>
  <c r="E166" i="9"/>
  <c r="D166" i="9"/>
  <c r="C166" i="9"/>
  <c r="B166" i="9"/>
  <c r="S175" i="9"/>
  <c r="R175" i="9"/>
  <c r="Q175" i="9"/>
  <c r="P175" i="9"/>
  <c r="O175" i="9"/>
  <c r="N175" i="9"/>
  <c r="J175" i="9"/>
  <c r="I175" i="9"/>
  <c r="H175" i="9"/>
  <c r="G175" i="9"/>
  <c r="F175" i="9"/>
  <c r="E175" i="9"/>
  <c r="D175" i="9"/>
  <c r="C175" i="9"/>
  <c r="B175" i="9"/>
  <c r="S158" i="9"/>
  <c r="R158" i="9"/>
  <c r="Q158" i="9"/>
  <c r="P158" i="9"/>
  <c r="O158" i="9"/>
  <c r="N158" i="9"/>
  <c r="J158" i="9"/>
  <c r="I158" i="9"/>
  <c r="H158" i="9"/>
  <c r="G158" i="9"/>
  <c r="F158" i="9"/>
  <c r="E158" i="9"/>
  <c r="D158" i="9"/>
  <c r="C158" i="9"/>
  <c r="B158" i="9"/>
  <c r="S149" i="9"/>
  <c r="R149" i="9"/>
  <c r="Q149" i="9"/>
  <c r="P149" i="9"/>
  <c r="O149" i="9"/>
  <c r="N149" i="9"/>
  <c r="J149" i="9"/>
  <c r="I149" i="9"/>
  <c r="H149" i="9"/>
  <c r="G149" i="9"/>
  <c r="F149" i="9"/>
  <c r="E149" i="9"/>
  <c r="D149" i="9"/>
  <c r="C149" i="9"/>
  <c r="B149" i="9"/>
  <c r="S139" i="9"/>
  <c r="R139" i="9"/>
  <c r="Q139" i="9"/>
  <c r="P139" i="9"/>
  <c r="O139" i="9"/>
  <c r="N139" i="9"/>
  <c r="J139" i="9"/>
  <c r="I139" i="9"/>
  <c r="H139" i="9"/>
  <c r="G139" i="9"/>
  <c r="F139" i="9"/>
  <c r="E139" i="9"/>
  <c r="D139" i="9"/>
  <c r="C139" i="9"/>
  <c r="B139" i="9"/>
  <c r="S130" i="9"/>
  <c r="R130" i="9"/>
  <c r="Q130" i="9"/>
  <c r="P130" i="9"/>
  <c r="O130" i="9"/>
  <c r="N130" i="9"/>
  <c r="J130" i="9"/>
  <c r="I130" i="9"/>
  <c r="H130" i="9"/>
  <c r="G130" i="9"/>
  <c r="F130" i="9"/>
  <c r="E130" i="9"/>
  <c r="D130" i="9"/>
  <c r="C130" i="9"/>
  <c r="B130" i="9"/>
  <c r="S120" i="9"/>
  <c r="R120" i="9"/>
  <c r="Q120" i="9"/>
  <c r="P120" i="9"/>
  <c r="O120" i="9"/>
  <c r="N120" i="9"/>
  <c r="J120" i="9"/>
  <c r="I120" i="9"/>
  <c r="H120" i="9"/>
  <c r="G120" i="9"/>
  <c r="F120" i="9"/>
  <c r="E120" i="9"/>
  <c r="D120" i="9"/>
  <c r="C120" i="9"/>
  <c r="B120" i="9"/>
  <c r="S112" i="9"/>
  <c r="R112" i="9"/>
  <c r="Q112" i="9"/>
  <c r="P112" i="9"/>
  <c r="O112" i="9"/>
  <c r="N112" i="9"/>
  <c r="J112" i="9"/>
  <c r="I112" i="9"/>
  <c r="H112" i="9"/>
  <c r="G112" i="9"/>
  <c r="F112" i="9"/>
  <c r="E112" i="9"/>
  <c r="D112" i="9"/>
  <c r="C112" i="9"/>
  <c r="B112" i="9"/>
  <c r="S105" i="9"/>
  <c r="R105" i="9"/>
  <c r="Q105" i="9"/>
  <c r="P105" i="9"/>
  <c r="O105" i="9"/>
  <c r="N105" i="9"/>
  <c r="J105" i="9"/>
  <c r="I105" i="9"/>
  <c r="H105" i="9"/>
  <c r="G105" i="9"/>
  <c r="F105" i="9"/>
  <c r="E105" i="9"/>
  <c r="D105" i="9"/>
  <c r="C105" i="9"/>
  <c r="B105" i="9"/>
  <c r="S96" i="9"/>
  <c r="R96" i="9"/>
  <c r="Q96" i="9"/>
  <c r="P96" i="9"/>
  <c r="O96" i="9"/>
  <c r="N96" i="9"/>
  <c r="J96" i="9"/>
  <c r="I96" i="9"/>
  <c r="H96" i="9"/>
  <c r="G96" i="9"/>
  <c r="F96" i="9"/>
  <c r="E96" i="9"/>
  <c r="D96" i="9"/>
  <c r="C96" i="9"/>
  <c r="B96" i="9"/>
  <c r="S87" i="9"/>
  <c r="R87" i="9"/>
  <c r="Q87" i="9"/>
  <c r="P87" i="9"/>
  <c r="O87" i="9"/>
  <c r="N87" i="9"/>
  <c r="J87" i="9"/>
  <c r="I87" i="9"/>
  <c r="H87" i="9"/>
  <c r="G87" i="9"/>
  <c r="F87" i="9"/>
  <c r="E87" i="9"/>
  <c r="D87" i="9"/>
  <c r="C87" i="9"/>
  <c r="B87" i="9"/>
  <c r="S78" i="9"/>
  <c r="R78" i="9"/>
  <c r="Q78" i="9"/>
  <c r="P78" i="9"/>
  <c r="O78" i="9"/>
  <c r="N78" i="9"/>
  <c r="J78" i="9"/>
  <c r="I78" i="9"/>
  <c r="H78" i="9"/>
  <c r="G78" i="9"/>
  <c r="F78" i="9"/>
  <c r="E78" i="9"/>
  <c r="D78" i="9"/>
  <c r="C78" i="9"/>
  <c r="B78" i="9"/>
  <c r="S69" i="9"/>
  <c r="R69" i="9"/>
  <c r="Q69" i="9"/>
  <c r="P69" i="9"/>
  <c r="O69" i="9"/>
  <c r="N69" i="9"/>
  <c r="J69" i="9"/>
  <c r="I69" i="9"/>
  <c r="H69" i="9"/>
  <c r="G69" i="9"/>
  <c r="F69" i="9"/>
  <c r="E69" i="9"/>
  <c r="D69" i="9"/>
  <c r="C69" i="9"/>
  <c r="B69" i="9"/>
  <c r="S57" i="9"/>
  <c r="R57" i="9"/>
  <c r="Q57" i="9"/>
  <c r="P57" i="9"/>
  <c r="O57" i="9"/>
  <c r="N57" i="9"/>
  <c r="J57" i="9"/>
  <c r="I57" i="9"/>
  <c r="H57" i="9"/>
  <c r="G57" i="9"/>
  <c r="F57" i="9"/>
  <c r="E57" i="9"/>
  <c r="D57" i="9"/>
  <c r="C57" i="9"/>
  <c r="B57" i="9"/>
  <c r="S49" i="9"/>
  <c r="R49" i="9"/>
  <c r="Q49" i="9"/>
  <c r="P49" i="9"/>
  <c r="O49" i="9"/>
  <c r="N49" i="9"/>
  <c r="J49" i="9"/>
  <c r="I49" i="9"/>
  <c r="H49" i="9"/>
  <c r="G49" i="9"/>
  <c r="F49" i="9"/>
  <c r="E49" i="9"/>
  <c r="D49" i="9"/>
  <c r="C49" i="9"/>
  <c r="B49" i="9"/>
  <c r="S42" i="9"/>
  <c r="R42" i="9"/>
  <c r="Q42" i="9"/>
  <c r="P42" i="9"/>
  <c r="O42" i="9"/>
  <c r="N42" i="9"/>
  <c r="J42" i="9"/>
  <c r="I42" i="9"/>
  <c r="H42" i="9"/>
  <c r="G42" i="9"/>
  <c r="F42" i="9"/>
  <c r="E42" i="9"/>
  <c r="D42" i="9"/>
  <c r="C42" i="9"/>
  <c r="B42" i="9"/>
  <c r="S32" i="9"/>
  <c r="R32" i="9"/>
  <c r="Q32" i="9"/>
  <c r="P32" i="9"/>
  <c r="O32" i="9"/>
  <c r="N32" i="9"/>
  <c r="J32" i="9"/>
  <c r="I32" i="9"/>
  <c r="H32" i="9"/>
  <c r="G32" i="9"/>
  <c r="F32" i="9"/>
  <c r="E32" i="9"/>
  <c r="D32" i="9"/>
  <c r="C32" i="9"/>
  <c r="B32" i="9"/>
  <c r="S12" i="9"/>
  <c r="R12" i="9"/>
  <c r="Q12" i="9"/>
  <c r="P12" i="9"/>
  <c r="O12" i="9"/>
  <c r="N12" i="9"/>
  <c r="J12" i="9"/>
  <c r="I12" i="9"/>
  <c r="H12" i="9"/>
  <c r="G12" i="9"/>
  <c r="F12" i="9"/>
  <c r="E12" i="9"/>
  <c r="D12" i="9"/>
  <c r="C12" i="9"/>
  <c r="B12" i="9"/>
</calcChain>
</file>

<file path=xl/sharedStrings.xml><?xml version="1.0" encoding="utf-8"?>
<sst xmlns="http://schemas.openxmlformats.org/spreadsheetml/2006/main" count="214" uniqueCount="155">
  <si>
    <t>Number</t>
  </si>
  <si>
    <t>Floor Area</t>
  </si>
  <si>
    <t>Value</t>
  </si>
  <si>
    <t>Total</t>
  </si>
  <si>
    <t>(sq.m.)</t>
  </si>
  <si>
    <t>Factory</t>
  </si>
  <si>
    <t>Refinery</t>
  </si>
  <si>
    <t>Printing Press</t>
  </si>
  <si>
    <t>Other Industrial</t>
  </si>
  <si>
    <t>Repair/Machine Shop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</si>
  <si>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</si>
  <si>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</si>
  <si>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</si>
  <si>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</si>
  <si>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</si>
  <si>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</si>
  <si>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</si>
  <si>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</si>
  <si>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</si>
  <si>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</si>
  <si>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</si>
  <si>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</si>
  <si>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</si>
  <si>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</si>
  <si>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</si>
  <si>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</si>
  <si>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</si>
  <si>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</si>
  <si>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</si>
  <si>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</si>
  <si>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</si>
  <si>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</si>
  <si>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</si>
  <si>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</si>
  <si>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</si>
  <si>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</si>
  <si>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</si>
  <si>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</si>
  <si>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</si>
  <si>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</si>
  <si>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</si>
  <si>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</si>
  <si>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</si>
  <si>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</si>
  <si>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</si>
  <si>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</si>
  <si>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</si>
  <si>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</si>
  <si>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</si>
  <si>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</si>
  <si>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</si>
  <si>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</si>
  <si>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</si>
  <si>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</si>
  <si>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</si>
  <si>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</si>
  <si>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</si>
  <si>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</si>
  <si>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</si>
  <si>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</si>
  <si>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</si>
  <si>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</si>
  <si>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</si>
  <si>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</si>
  <si>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</si>
  <si>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</si>
  <si>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</si>
  <si>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</si>
  <si>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</si>
  <si>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</si>
  <si>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</si>
  <si>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</si>
  <si>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</si>
  <si>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</si>
  <si>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</si>
  <si>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</si>
  <si>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</si>
  <si>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</si>
  <si>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</si>
  <si>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</si>
  <si>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</si>
  <si>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</si>
  <si>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</si>
  <si>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</si>
  <si>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</si>
  <si>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</si>
  <si>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</si>
  <si>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</si>
  <si>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</si>
  <si>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</si>
  <si>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</si>
  <si>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</si>
  <si>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</si>
  <si>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</si>
  <si>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</si>
  <si>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</si>
  <si>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</si>
  <si>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</si>
  <si>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</si>
  <si>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</si>
  <si>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</si>
  <si>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</si>
  <si>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</si>
  <si>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</si>
  <si>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</si>
  <si>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</si>
  <si>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</si>
  <si>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</si>
  <si>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</si>
  <si>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</si>
  <si>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</si>
  <si>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</si>
  <si>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</si>
  <si>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</si>
  <si>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</si>
  <si>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</si>
  <si>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</si>
  <si>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</si>
  <si>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</si>
  <si>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</si>
  <si>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</si>
  <si>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</si>
  <si>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</si>
  <si>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</si>
  <si>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</si>
  <si>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</si>
  <si>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</si>
  <si>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</si>
  <si>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</si>
  <si>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</si>
  <si>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</si>
  <si>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</si>
  <si>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</si>
  <si>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</si>
  <si>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</si>
  <si>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</si>
  <si>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</si>
  <si>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</si>
  <si>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</si>
  <si>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</si>
  <si>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</si>
  <si>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</si>
  <si>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</si>
  <si>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</si>
  <si>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</si>
  <si>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</si>
  <si>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</si>
  <si>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</si>
  <si>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</si>
  <si>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</si>
  <si>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</si>
  <si>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</si>
  <si>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</si>
  <si>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</si>
  <si>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Table 7. Number, Floor Area, and Value of Industrial Building Constructions by Type, Region, Province, and Highly Urbanized Cities (HUC):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</si>
</sst>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applyFont="1" applyAlignment="1">
      <alignment horizontal="left" vertical="center"/>
    </xf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10" fillId="0" borderId="0" xfId="0" applyNumberFormat="1" applyFont="1"/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165" fontId="6" fillId="0" borderId="0" xfId="0" applyNumberFormat="1" applyFont="1" applyAlignment="1">
      <alignment wrapText="1"/>
    </xf>
    <xf numFmtId="0" fontId="6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Normal" xfId="0" builtinId="0"/>
    <cellStyle name="Normal 68 2" xfId="1" xr:uid="{E88CA2CA-A410-4E7B-A2BB-3AF08186E511}"/>
    <cellStyle name="Normal 68 3" xfId="2" xr:uid="{B2A089AF-3198-41C4-A568-F7F7678B9A21}"/>
  </cellStyles>
  <dxfs count="6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B681-3697-4FAD-BC9C-D83E69CE3509}">
  <sheetPr codeName="Sheet9"/>
  <dimension ref="A1:S2407"/>
  <sheetViews>
    <sheetView tabSelected="1" zoomScale="115" zoomScaleNormal="115" zoomScaleSheetLayoutView="100" workbookViewId="0">
      <pane xSplit="1" ySplit="9" topLeftCell="B138" activePane="bottomRight" state="frozen"/>
      <selection pane="topRight" activeCell="B1" sqref="B1"/>
      <selection pane="bottomLeft" activeCell="A10" sqref="A10"/>
      <selection pane="bottomRight" activeCell="E144" sqref="E144"/>
    </sheetView>
  </sheetViews>
  <sheetFormatPr defaultColWidth="9.109375" defaultRowHeight="13.8" x14ac:dyDescent="0.3"/>
  <cols>
    <col min="1" max="1" width="29.6640625" style="10" customWidth="1"/>
    <col min="2" max="19" width="9.33203125" style="10" customWidth="1"/>
    <col min="20" max="16384" width="9.109375" style="10"/>
  </cols>
  <sheetData>
    <row r="1" spans="1:19" ht="14.1" customHeight="1" x14ac:dyDescent="0.3">
      <c r="A1" s="21" t="s">
        <v>154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8.1" customHeight="1" x14ac:dyDescent="0.3"/>
    <row r="3" spans="1:19" ht="14.1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9" ht="24.9" customHeight="1" x14ac:dyDescent="0.3">
      <c r="A4" s="22" t="s">
        <v>16</v>
      </c>
      <c r="B4" s="25" t="s">
        <v>3</v>
      </c>
      <c r="C4" s="26"/>
      <c r="D4" s="27"/>
      <c r="E4" s="25" t="s">
        <v>5</v>
      </c>
      <c r="F4" s="26"/>
      <c r="G4" s="27"/>
      <c r="H4" s="25" t="s">
        <v>9</v>
      </c>
      <c r="I4" s="26"/>
      <c r="J4" s="27"/>
      <c r="K4" s="25" t="s">
        <v>6</v>
      </c>
      <c r="L4" s="26"/>
      <c r="M4" s="27"/>
      <c r="N4" s="25" t="s">
        <v>7</v>
      </c>
      <c r="O4" s="26"/>
      <c r="P4" s="27"/>
      <c r="Q4" s="25" t="s">
        <v>8</v>
      </c>
      <c r="R4" s="26"/>
      <c r="S4" s="26"/>
    </row>
    <row r="5" spans="1:19" ht="15" customHeight="1" x14ac:dyDescent="0.3">
      <c r="A5" s="23"/>
      <c r="B5" s="28" t="s">
        <v>0</v>
      </c>
      <c r="C5" s="8" t="s">
        <v>1</v>
      </c>
      <c r="D5" s="8" t="s">
        <v>2</v>
      </c>
      <c r="E5" s="28" t="s">
        <v>0</v>
      </c>
      <c r="F5" s="8" t="s">
        <v>1</v>
      </c>
      <c r="G5" s="8" t="s">
        <v>2</v>
      </c>
      <c r="H5" s="28" t="s">
        <v>0</v>
      </c>
      <c r="I5" s="8" t="s">
        <v>1</v>
      </c>
      <c r="J5" s="1" t="s">
        <v>2</v>
      </c>
      <c r="K5" s="28" t="s">
        <v>0</v>
      </c>
      <c r="L5" s="8" t="s">
        <v>1</v>
      </c>
      <c r="M5" s="8" t="s">
        <v>2</v>
      </c>
      <c r="N5" s="28" t="s">
        <v>0</v>
      </c>
      <c r="O5" s="8" t="s">
        <v>1</v>
      </c>
      <c r="P5" s="8" t="s">
        <v>2</v>
      </c>
      <c r="Q5" s="28" t="s">
        <v>0</v>
      </c>
      <c r="R5" s="8" t="s">
        <v>1</v>
      </c>
      <c r="S5" s="1" t="s">
        <v>2</v>
      </c>
    </row>
    <row r="6" spans="1:19" ht="15" customHeight="1" x14ac:dyDescent="0.3">
      <c r="A6" s="23"/>
      <c r="B6" s="29"/>
      <c r="C6" s="9" t="s">
        <v>4</v>
      </c>
      <c r="D6" s="9" t="s">
        <v>13</v>
      </c>
      <c r="E6" s="29"/>
      <c r="F6" s="9" t="s">
        <v>4</v>
      </c>
      <c r="G6" s="9" t="s">
        <v>13</v>
      </c>
      <c r="H6" s="29"/>
      <c r="I6" s="9" t="s">
        <v>4</v>
      </c>
      <c r="J6" s="2" t="s">
        <v>13</v>
      </c>
      <c r="K6" s="29"/>
      <c r="L6" s="9" t="s">
        <v>4</v>
      </c>
      <c r="M6" s="9" t="s">
        <v>13</v>
      </c>
      <c r="N6" s="29"/>
      <c r="O6" s="9" t="s">
        <v>4</v>
      </c>
      <c r="P6" s="9" t="s">
        <v>13</v>
      </c>
      <c r="Q6" s="29"/>
      <c r="R6" s="9" t="s">
        <v>4</v>
      </c>
      <c r="S6" s="2" t="s">
        <v>13</v>
      </c>
    </row>
    <row r="7" spans="1:19" ht="15" customHeight="1" x14ac:dyDescent="0.3">
      <c r="A7" s="24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11" customFormat="1" x14ac:dyDescent="0.3"/>
    <row r="9" spans="1:19" s="11" customFormat="1" x14ac:dyDescent="0.3">
      <c r="A9" s="16" t="s">
        <v>10</v>
      </c>
      <c r="B9" s="16">
        <v>308</v>
      </c>
      <c r="C9" s="16">
        <v>255038</v>
      </c>
      <c r="D9" s="16">
        <v>3485447.9389999998</v>
      </c>
      <c r="E9" s="16">
        <v>44</v>
      </c>
      <c r="F9" s="16">
        <v>27360</v>
      </c>
      <c r="G9" s="16">
        <v>272563.679</v>
      </c>
      <c r="H9" s="16">
        <v>38</v>
      </c>
      <c r="I9" s="16">
        <v>7480</v>
      </c>
      <c r="J9" s="16">
        <v>48217.720999999998</v>
      </c>
      <c r="K9" s="16">
        <v>0</v>
      </c>
      <c r="L9" s="16">
        <v>0</v>
      </c>
      <c r="M9" s="16">
        <v>0</v>
      </c>
      <c r="N9" s="16">
        <v>1</v>
      </c>
      <c r="O9" s="16">
        <v>1246</v>
      </c>
      <c r="P9" s="16">
        <v>3520.2179999999998</v>
      </c>
      <c r="Q9" s="16">
        <v>225</v>
      </c>
      <c r="R9" s="16">
        <v>218952</v>
      </c>
      <c r="S9" s="16">
        <v>3161146.321</v>
      </c>
    </row>
    <row r="10" spans="1:19" s="11" customFormat="1" x14ac:dyDescent="0.3">
      <c r="A10" s="16" t="s">
        <v>18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s="11" customFormat="1" x14ac:dyDescent="0.3">
      <c r="A11" s="17" t="s">
        <v>19</v>
      </c>
      <c r="B11" s="17">
        <v>23</v>
      </c>
      <c r="C11" s="17">
        <v>16999</v>
      </c>
      <c r="D11" s="17">
        <v>173104.016</v>
      </c>
      <c r="E11" s="17">
        <v>1</v>
      </c>
      <c r="F11" s="17">
        <v>27</v>
      </c>
      <c r="G11" s="17">
        <v>1737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22</v>
      </c>
      <c r="R11" s="17">
        <v>16972</v>
      </c>
      <c r="S11" s="17">
        <v>171367.016</v>
      </c>
    </row>
    <row r="12" spans="1:19" s="11" customFormat="1" x14ac:dyDescent="0.3">
      <c r="A12" s="17" t="s">
        <v>11</v>
      </c>
      <c r="B12" s="18">
        <f>B11/B$9*100</f>
        <v>7.4675324675324672</v>
      </c>
      <c r="C12" s="18">
        <f t="shared" ref="C12:S12" si="0">C11/C$9*100</f>
        <v>6.6652812522055545</v>
      </c>
      <c r="D12" s="18">
        <f t="shared" si="0"/>
        <v>4.9664783129615415</v>
      </c>
      <c r="E12" s="18">
        <f t="shared" si="0"/>
        <v>2.2727272727272729</v>
      </c>
      <c r="F12" s="18">
        <f t="shared" si="0"/>
        <v>9.8684210526315791E-2</v>
      </c>
      <c r="G12" s="18">
        <f t="shared" si="0"/>
        <v>0.63728226973337854</v>
      </c>
      <c r="H12" s="18">
        <f t="shared" si="0"/>
        <v>0</v>
      </c>
      <c r="I12" s="18">
        <f t="shared" si="0"/>
        <v>0</v>
      </c>
      <c r="J12" s="18">
        <f t="shared" si="0"/>
        <v>0</v>
      </c>
      <c r="K12" s="18">
        <v>0</v>
      </c>
      <c r="L12" s="18">
        <v>0</v>
      </c>
      <c r="M12" s="18">
        <v>0</v>
      </c>
      <c r="N12" s="18">
        <f t="shared" si="0"/>
        <v>0</v>
      </c>
      <c r="O12" s="18">
        <f t="shared" si="0"/>
        <v>0</v>
      </c>
      <c r="P12" s="18">
        <f t="shared" si="0"/>
        <v>0</v>
      </c>
      <c r="Q12" s="18">
        <f t="shared" si="0"/>
        <v>9.7777777777777786</v>
      </c>
      <c r="R12" s="18">
        <f t="shared" si="0"/>
        <v>7.7514706419671899</v>
      </c>
      <c r="S12" s="18">
        <f t="shared" si="0"/>
        <v>5.4210402998931606</v>
      </c>
    </row>
    <row r="13" spans="1:19" s="11" customFormat="1" x14ac:dyDescent="0.3">
      <c r="A13" s="17" t="s">
        <v>20</v>
      </c>
      <c r="B13" s="17">
        <v>1</v>
      </c>
      <c r="C13" s="17">
        <v>436</v>
      </c>
      <c r="D13" s="17">
        <v>5458.96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1</v>
      </c>
      <c r="R13" s="17">
        <v>436</v>
      </c>
      <c r="S13" s="17">
        <v>5458.96</v>
      </c>
    </row>
    <row r="14" spans="1:19" s="11" customFormat="1" x14ac:dyDescent="0.3">
      <c r="A14" s="17" t="s">
        <v>21</v>
      </c>
      <c r="B14" s="17">
        <v>1</v>
      </c>
      <c r="C14" s="17">
        <v>207</v>
      </c>
      <c r="D14" s="17">
        <v>3100.65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1</v>
      </c>
      <c r="R14" s="17">
        <v>207</v>
      </c>
      <c r="S14" s="17">
        <v>3100.65</v>
      </c>
    </row>
    <row r="15" spans="1:19" s="11" customFormat="1" x14ac:dyDescent="0.3">
      <c r="A15" s="17" t="s">
        <v>22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</row>
    <row r="16" spans="1:19" s="11" customFormat="1" x14ac:dyDescent="0.3">
      <c r="A16" s="17" t="s">
        <v>23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</row>
    <row r="17" spans="1:19" s="11" customFormat="1" x14ac:dyDescent="0.3">
      <c r="A17" s="17" t="s">
        <v>24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</row>
    <row r="18" spans="1:19" s="11" customFormat="1" x14ac:dyDescent="0.3">
      <c r="A18" s="17" t="s">
        <v>25</v>
      </c>
      <c r="B18" s="17">
        <v>2</v>
      </c>
      <c r="C18" s="17">
        <v>216</v>
      </c>
      <c r="D18" s="17">
        <v>13034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2</v>
      </c>
      <c r="R18" s="17">
        <v>216</v>
      </c>
      <c r="S18" s="17">
        <v>13034</v>
      </c>
    </row>
    <row r="19" spans="1:19" s="11" customFormat="1" x14ac:dyDescent="0.3">
      <c r="A19" s="17" t="s">
        <v>26</v>
      </c>
      <c r="B19" s="17">
        <v>1</v>
      </c>
      <c r="C19" s="17">
        <v>579</v>
      </c>
      <c r="D19" s="17">
        <v>5000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1</v>
      </c>
      <c r="R19" s="17">
        <v>579</v>
      </c>
      <c r="S19" s="17">
        <v>5000</v>
      </c>
    </row>
    <row r="20" spans="1:19" s="11" customFormat="1" x14ac:dyDescent="0.3">
      <c r="A20" s="17" t="s">
        <v>27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</row>
    <row r="21" spans="1:19" s="11" customFormat="1" x14ac:dyDescent="0.3">
      <c r="A21" s="17" t="s">
        <v>28</v>
      </c>
      <c r="B21" s="17">
        <v>1</v>
      </c>
      <c r="C21" s="17">
        <v>7535</v>
      </c>
      <c r="D21" s="17">
        <v>47158.222000000002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1</v>
      </c>
      <c r="R21" s="17">
        <v>7535</v>
      </c>
      <c r="S21" s="17">
        <v>47158.222000000002</v>
      </c>
    </row>
    <row r="22" spans="1:19" s="11" customFormat="1" x14ac:dyDescent="0.3">
      <c r="A22" s="17" t="s">
        <v>29</v>
      </c>
      <c r="B22" s="17">
        <v>5</v>
      </c>
      <c r="C22" s="17">
        <v>2754</v>
      </c>
      <c r="D22" s="17">
        <v>54216.815000000002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5</v>
      </c>
      <c r="R22" s="17">
        <v>2754</v>
      </c>
      <c r="S22" s="17">
        <v>54216.815000000002</v>
      </c>
    </row>
    <row r="23" spans="1:19" s="11" customFormat="1" x14ac:dyDescent="0.3">
      <c r="A23" s="17" t="s">
        <v>30</v>
      </c>
      <c r="B23" s="17">
        <v>1</v>
      </c>
      <c r="C23" s="17">
        <v>140</v>
      </c>
      <c r="D23" s="17">
        <v>2090.7579999999998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1</v>
      </c>
      <c r="R23" s="17">
        <v>140</v>
      </c>
      <c r="S23" s="17">
        <v>2090.7579999999998</v>
      </c>
    </row>
    <row r="24" spans="1:19" s="11" customFormat="1" x14ac:dyDescent="0.3">
      <c r="A24" s="17" t="s">
        <v>31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</row>
    <row r="25" spans="1:19" s="11" customFormat="1" x14ac:dyDescent="0.3">
      <c r="A25" s="17" t="s">
        <v>32</v>
      </c>
      <c r="B25" s="17">
        <v>1</v>
      </c>
      <c r="C25" s="17">
        <v>100</v>
      </c>
      <c r="D25" s="17">
        <v>1827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1</v>
      </c>
      <c r="R25" s="17">
        <v>100</v>
      </c>
      <c r="S25" s="17">
        <v>1827</v>
      </c>
    </row>
    <row r="26" spans="1:19" s="11" customFormat="1" x14ac:dyDescent="0.3">
      <c r="A26" s="17" t="s">
        <v>33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</row>
    <row r="27" spans="1:19" s="11" customFormat="1" x14ac:dyDescent="0.3">
      <c r="A27" s="17" t="s">
        <v>34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</row>
    <row r="28" spans="1:19" s="11" customFormat="1" x14ac:dyDescent="0.3">
      <c r="A28" s="17" t="s">
        <v>35</v>
      </c>
      <c r="B28" s="17">
        <v>9</v>
      </c>
      <c r="C28" s="17">
        <v>4795</v>
      </c>
      <c r="D28" s="17">
        <v>38803.964</v>
      </c>
      <c r="E28" s="17">
        <v>1</v>
      </c>
      <c r="F28" s="17">
        <v>27</v>
      </c>
      <c r="G28" s="17">
        <v>1737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8</v>
      </c>
      <c r="R28" s="17">
        <v>4768</v>
      </c>
      <c r="S28" s="17">
        <v>37066.964</v>
      </c>
    </row>
    <row r="29" spans="1:19" s="11" customFormat="1" x14ac:dyDescent="0.3">
      <c r="A29" s="17" t="s">
        <v>36</v>
      </c>
      <c r="B29" s="17">
        <v>1</v>
      </c>
      <c r="C29" s="17">
        <v>237</v>
      </c>
      <c r="D29" s="17">
        <v>2413.6469999999999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1</v>
      </c>
      <c r="R29" s="17">
        <v>237</v>
      </c>
      <c r="S29" s="17">
        <v>2413.6469999999999</v>
      </c>
    </row>
    <row r="30" spans="1:19" s="11" customFormat="1" x14ac:dyDescent="0.3">
      <c r="A30" s="17" t="s">
        <v>18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s="11" customFormat="1" x14ac:dyDescent="0.3">
      <c r="A31" s="17" t="s">
        <v>37</v>
      </c>
      <c r="B31" s="17">
        <v>6</v>
      </c>
      <c r="C31" s="17">
        <v>2633</v>
      </c>
      <c r="D31" s="17">
        <v>37048.267</v>
      </c>
      <c r="E31" s="17">
        <v>0</v>
      </c>
      <c r="F31" s="17">
        <v>0</v>
      </c>
      <c r="G31" s="17">
        <v>0</v>
      </c>
      <c r="H31" s="17">
        <v>3</v>
      </c>
      <c r="I31" s="17">
        <v>278</v>
      </c>
      <c r="J31" s="17">
        <v>3723.88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3</v>
      </c>
      <c r="R31" s="17">
        <v>2355</v>
      </c>
      <c r="S31" s="17">
        <v>33324.387000000002</v>
      </c>
    </row>
    <row r="32" spans="1:19" s="11" customFormat="1" x14ac:dyDescent="0.3">
      <c r="A32" s="17" t="s">
        <v>11</v>
      </c>
      <c r="B32" s="18">
        <f>B31/B$9*100</f>
        <v>1.948051948051948</v>
      </c>
      <c r="C32" s="18">
        <f t="shared" ref="C32" si="1">C31/C$9*100</f>
        <v>1.0323951724841005</v>
      </c>
      <c r="D32" s="18">
        <f t="shared" ref="D32" si="2">D31/D$9*100</f>
        <v>1.0629413392021403</v>
      </c>
      <c r="E32" s="18">
        <f t="shared" ref="E32" si="3">E31/E$9*100</f>
        <v>0</v>
      </c>
      <c r="F32" s="18">
        <f t="shared" ref="F32" si="4">F31/F$9*100</f>
        <v>0</v>
      </c>
      <c r="G32" s="18">
        <f t="shared" ref="G32" si="5">G31/G$9*100</f>
        <v>0</v>
      </c>
      <c r="H32" s="18">
        <f t="shared" ref="H32" si="6">H31/H$9*100</f>
        <v>7.8947368421052628</v>
      </c>
      <c r="I32" s="18">
        <f t="shared" ref="I32" si="7">I31/I$9*100</f>
        <v>3.7165775401069516</v>
      </c>
      <c r="J32" s="18">
        <f t="shared" ref="J32" si="8">J31/J$9*100</f>
        <v>7.7230526925982259</v>
      </c>
      <c r="K32" s="18">
        <v>0</v>
      </c>
      <c r="L32" s="18">
        <v>0</v>
      </c>
      <c r="M32" s="18">
        <v>0</v>
      </c>
      <c r="N32" s="18">
        <f t="shared" ref="N32" si="9">N31/N$9*100</f>
        <v>0</v>
      </c>
      <c r="O32" s="18">
        <f t="shared" ref="O32" si="10">O31/O$9*100</f>
        <v>0</v>
      </c>
      <c r="P32" s="18">
        <f t="shared" ref="P32" si="11">P31/P$9*100</f>
        <v>0</v>
      </c>
      <c r="Q32" s="18">
        <f t="shared" ref="Q32" si="12">Q31/Q$9*100</f>
        <v>1.3333333333333335</v>
      </c>
      <c r="R32" s="18">
        <f t="shared" ref="R32" si="13">R31/R$9*100</f>
        <v>1.0755782089225034</v>
      </c>
      <c r="S32" s="18">
        <f t="shared" ref="S32" si="14">S31/S$9*100</f>
        <v>1.0541867922601613</v>
      </c>
    </row>
    <row r="33" spans="1:19" s="11" customFormat="1" x14ac:dyDescent="0.3">
      <c r="A33" s="17" t="s">
        <v>38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</row>
    <row r="34" spans="1:19" s="11" customFormat="1" x14ac:dyDescent="0.3">
      <c r="A34" s="17" t="s">
        <v>39</v>
      </c>
      <c r="B34" s="17">
        <v>2</v>
      </c>
      <c r="C34" s="17">
        <v>145</v>
      </c>
      <c r="D34" s="17">
        <v>1849</v>
      </c>
      <c r="E34" s="17">
        <v>0</v>
      </c>
      <c r="F34" s="17">
        <v>0</v>
      </c>
      <c r="G34" s="17">
        <v>0</v>
      </c>
      <c r="H34" s="17">
        <v>2</v>
      </c>
      <c r="I34" s="17">
        <v>145</v>
      </c>
      <c r="J34" s="17">
        <v>1849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s="11" customFormat="1" x14ac:dyDescent="0.3">
      <c r="A35" s="17" t="s">
        <v>40</v>
      </c>
      <c r="B35" s="17">
        <v>2</v>
      </c>
      <c r="C35" s="17">
        <v>355</v>
      </c>
      <c r="D35" s="17">
        <v>8358.7720000000008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2</v>
      </c>
      <c r="R35" s="17">
        <v>355</v>
      </c>
      <c r="S35" s="17">
        <v>8358.7720000000008</v>
      </c>
    </row>
    <row r="36" spans="1:19" s="11" customFormat="1" x14ac:dyDescent="0.3">
      <c r="A36" s="17" t="s">
        <v>41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</row>
    <row r="37" spans="1:19" s="11" customFormat="1" x14ac:dyDescent="0.3">
      <c r="A37" s="17" t="s">
        <v>42</v>
      </c>
      <c r="B37" s="17">
        <v>2</v>
      </c>
      <c r="C37" s="17">
        <v>2133</v>
      </c>
      <c r="D37" s="17">
        <v>26840.494999999999</v>
      </c>
      <c r="E37" s="17">
        <v>0</v>
      </c>
      <c r="F37" s="17">
        <v>0</v>
      </c>
      <c r="G37" s="17">
        <v>0</v>
      </c>
      <c r="H37" s="17">
        <v>1</v>
      </c>
      <c r="I37" s="17">
        <v>133</v>
      </c>
      <c r="J37" s="17">
        <v>1874.88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1</v>
      </c>
      <c r="R37" s="17">
        <v>2000</v>
      </c>
      <c r="S37" s="17">
        <v>24965.615000000002</v>
      </c>
    </row>
    <row r="38" spans="1:19" s="11" customFormat="1" x14ac:dyDescent="0.3">
      <c r="A38" s="17" t="s">
        <v>43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</row>
    <row r="39" spans="1:19" s="11" customFormat="1" x14ac:dyDescent="0.3">
      <c r="A39" s="5" t="s">
        <v>44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</row>
    <row r="40" spans="1:19" s="11" customFormat="1" x14ac:dyDescent="0.3">
      <c r="A40" s="17" t="s">
        <v>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s="11" customFormat="1" x14ac:dyDescent="0.3">
      <c r="A41" s="17" t="s">
        <v>45</v>
      </c>
      <c r="B41" s="17">
        <v>12</v>
      </c>
      <c r="C41" s="17">
        <v>7385</v>
      </c>
      <c r="D41" s="17">
        <v>49094.152999999998</v>
      </c>
      <c r="E41" s="17">
        <v>1</v>
      </c>
      <c r="F41" s="17">
        <v>85</v>
      </c>
      <c r="G41" s="17">
        <v>283.21899999999999</v>
      </c>
      <c r="H41" s="17">
        <v>2</v>
      </c>
      <c r="I41" s="17">
        <v>710</v>
      </c>
      <c r="J41" s="17">
        <v>3270.1080000000002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9</v>
      </c>
      <c r="R41" s="17">
        <v>6590</v>
      </c>
      <c r="S41" s="17">
        <v>45540.826000000001</v>
      </c>
    </row>
    <row r="42" spans="1:19" s="11" customFormat="1" x14ac:dyDescent="0.3">
      <c r="A42" s="17" t="s">
        <v>11</v>
      </c>
      <c r="B42" s="18">
        <f>B41/B$9*100</f>
        <v>3.8961038961038961</v>
      </c>
      <c r="C42" s="18">
        <f t="shared" ref="C42" si="15">C41/C$9*100</f>
        <v>2.8956469232036008</v>
      </c>
      <c r="D42" s="18">
        <f t="shared" ref="D42" si="16">D41/D$9*100</f>
        <v>1.4085464439352797</v>
      </c>
      <c r="E42" s="18">
        <f t="shared" ref="E42" si="17">E41/E$9*100</f>
        <v>2.2727272727272729</v>
      </c>
      <c r="F42" s="18">
        <f t="shared" ref="F42" si="18">F41/F$9*100</f>
        <v>0.31067251461988304</v>
      </c>
      <c r="G42" s="18">
        <f t="shared" ref="G42" si="19">G41/G$9*100</f>
        <v>0.10390929599977992</v>
      </c>
      <c r="H42" s="18">
        <f t="shared" ref="H42" si="20">H41/H$9*100</f>
        <v>5.2631578947368416</v>
      </c>
      <c r="I42" s="18">
        <f t="shared" ref="I42" si="21">I41/I$9*100</f>
        <v>9.4919786096256686</v>
      </c>
      <c r="J42" s="18">
        <f t="shared" ref="J42" si="22">J41/J$9*100</f>
        <v>6.7819630048462889</v>
      </c>
      <c r="K42" s="18">
        <v>0</v>
      </c>
      <c r="L42" s="18">
        <v>0</v>
      </c>
      <c r="M42" s="18">
        <v>0</v>
      </c>
      <c r="N42" s="18">
        <f t="shared" ref="N42" si="23">N41/N$9*100</f>
        <v>0</v>
      </c>
      <c r="O42" s="18">
        <f t="shared" ref="O42" si="24">O41/O$9*100</f>
        <v>0</v>
      </c>
      <c r="P42" s="18">
        <f t="shared" ref="P42" si="25">P41/P$9*100</f>
        <v>0</v>
      </c>
      <c r="Q42" s="18">
        <f t="shared" ref="Q42" si="26">Q41/Q$9*100</f>
        <v>4</v>
      </c>
      <c r="R42" s="18">
        <f t="shared" ref="R42" si="27">R41/R$9*100</f>
        <v>3.009792100551719</v>
      </c>
      <c r="S42" s="18">
        <f t="shared" ref="S42" si="28">S41/S$9*100</f>
        <v>1.440642772448242</v>
      </c>
    </row>
    <row r="43" spans="1:19" s="11" customFormat="1" x14ac:dyDescent="0.3">
      <c r="A43" s="17" t="s">
        <v>46</v>
      </c>
      <c r="B43" s="17">
        <v>4</v>
      </c>
      <c r="C43" s="17">
        <v>863</v>
      </c>
      <c r="D43" s="17">
        <v>4401.5569999999998</v>
      </c>
      <c r="E43" s="17">
        <v>1</v>
      </c>
      <c r="F43" s="17">
        <v>85</v>
      </c>
      <c r="G43" s="17">
        <v>283.21899999999999</v>
      </c>
      <c r="H43" s="17">
        <v>1</v>
      </c>
      <c r="I43" s="17">
        <v>482</v>
      </c>
      <c r="J43" s="17">
        <v>1043.0920000000001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2</v>
      </c>
      <c r="R43" s="17">
        <v>296</v>
      </c>
      <c r="S43" s="17">
        <v>3075.2460000000001</v>
      </c>
    </row>
    <row r="44" spans="1:19" s="11" customFormat="1" x14ac:dyDescent="0.3">
      <c r="A44" s="17" t="s">
        <v>47</v>
      </c>
      <c r="B44" s="17">
        <v>3</v>
      </c>
      <c r="C44" s="17">
        <v>1256</v>
      </c>
      <c r="D44" s="17">
        <v>17263.77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3</v>
      </c>
      <c r="R44" s="17">
        <v>1256</v>
      </c>
      <c r="S44" s="17">
        <v>17263.77</v>
      </c>
    </row>
    <row r="45" spans="1:19" s="11" customFormat="1" x14ac:dyDescent="0.3">
      <c r="A45" s="17" t="s">
        <v>48</v>
      </c>
      <c r="B45" s="17">
        <v>1</v>
      </c>
      <c r="C45" s="17">
        <v>36</v>
      </c>
      <c r="D45" s="17">
        <v>268.43900000000002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1</v>
      </c>
      <c r="R45" s="17">
        <v>36</v>
      </c>
      <c r="S45" s="17">
        <v>268.43900000000002</v>
      </c>
    </row>
    <row r="46" spans="1:19" s="11" customFormat="1" x14ac:dyDescent="0.3">
      <c r="A46" s="17" t="s">
        <v>49</v>
      </c>
      <c r="B46" s="17">
        <v>4</v>
      </c>
      <c r="C46" s="17">
        <v>5230</v>
      </c>
      <c r="D46" s="17">
        <v>27160.386999999999</v>
      </c>
      <c r="E46" s="17">
        <v>0</v>
      </c>
      <c r="F46" s="17">
        <v>0</v>
      </c>
      <c r="G46" s="17">
        <v>0</v>
      </c>
      <c r="H46" s="17">
        <v>1</v>
      </c>
      <c r="I46" s="17">
        <v>228</v>
      </c>
      <c r="J46" s="17">
        <v>2227.0160000000001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3</v>
      </c>
      <c r="R46" s="17">
        <v>5002</v>
      </c>
      <c r="S46" s="17">
        <v>24933.370999999999</v>
      </c>
    </row>
    <row r="47" spans="1:19" s="11" customFormat="1" x14ac:dyDescent="0.3">
      <c r="A47" s="17" t="s">
        <v>18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s="11" customFormat="1" x14ac:dyDescent="0.3">
      <c r="A48" s="17" t="s">
        <v>50</v>
      </c>
      <c r="B48" s="17">
        <v>1</v>
      </c>
      <c r="C48" s="17">
        <v>270</v>
      </c>
      <c r="D48" s="17">
        <v>2823.98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1</v>
      </c>
      <c r="R48" s="17">
        <v>270</v>
      </c>
      <c r="S48" s="17">
        <v>2823.98</v>
      </c>
    </row>
    <row r="49" spans="1:19" s="11" customFormat="1" x14ac:dyDescent="0.3">
      <c r="A49" s="17" t="s">
        <v>11</v>
      </c>
      <c r="B49" s="18">
        <f>B48/B$9*100</f>
        <v>0.32467532467532467</v>
      </c>
      <c r="C49" s="18">
        <f t="shared" ref="C49" si="29">C48/C$9*100</f>
        <v>0.10586657674542617</v>
      </c>
      <c r="D49" s="18">
        <f t="shared" ref="D49" si="30">D48/D$9*100</f>
        <v>8.1022010640337386E-2</v>
      </c>
      <c r="E49" s="18">
        <f t="shared" ref="E49" si="31">E48/E$9*100</f>
        <v>0</v>
      </c>
      <c r="F49" s="18">
        <f t="shared" ref="F49" si="32">F48/F$9*100</f>
        <v>0</v>
      </c>
      <c r="G49" s="18">
        <f t="shared" ref="G49" si="33">G48/G$9*100</f>
        <v>0</v>
      </c>
      <c r="H49" s="18">
        <f t="shared" ref="H49" si="34">H48/H$9*100</f>
        <v>0</v>
      </c>
      <c r="I49" s="18">
        <f t="shared" ref="I49" si="35">I48/I$9*100</f>
        <v>0</v>
      </c>
      <c r="J49" s="18">
        <f t="shared" ref="J49" si="36">J48/J$9*100</f>
        <v>0</v>
      </c>
      <c r="K49" s="18">
        <v>0</v>
      </c>
      <c r="L49" s="18">
        <v>0</v>
      </c>
      <c r="M49" s="18">
        <v>0</v>
      </c>
      <c r="N49" s="18">
        <f t="shared" ref="N49" si="37">N48/N$9*100</f>
        <v>0</v>
      </c>
      <c r="O49" s="18">
        <f t="shared" ref="O49" si="38">O48/O$9*100</f>
        <v>0</v>
      </c>
      <c r="P49" s="18">
        <f t="shared" ref="P49" si="39">P48/P$9*100</f>
        <v>0</v>
      </c>
      <c r="Q49" s="18">
        <f t="shared" ref="Q49" si="40">Q48/Q$9*100</f>
        <v>0.44444444444444442</v>
      </c>
      <c r="R49" s="18">
        <f t="shared" ref="R49" si="41">R48/R$9*100</f>
        <v>0.12331469911213418</v>
      </c>
      <c r="S49" s="18">
        <f t="shared" ref="S49" si="42">S48/S$9*100</f>
        <v>8.933404889358805E-2</v>
      </c>
    </row>
    <row r="50" spans="1:19" s="11" customFormat="1" x14ac:dyDescent="0.3">
      <c r="A50" s="17" t="s">
        <v>51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</row>
    <row r="51" spans="1:19" s="11" customFormat="1" x14ac:dyDescent="0.3">
      <c r="A51" s="17" t="s">
        <v>52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</row>
    <row r="52" spans="1:19" s="11" customFormat="1" x14ac:dyDescent="0.3">
      <c r="A52" s="17" t="s">
        <v>53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</row>
    <row r="53" spans="1:19" s="11" customFormat="1" x14ac:dyDescent="0.3">
      <c r="A53" s="17" t="s">
        <v>54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</row>
    <row r="54" spans="1:19" s="11" customFormat="1" x14ac:dyDescent="0.3">
      <c r="A54" s="17" t="s">
        <v>55</v>
      </c>
      <c r="B54" s="17">
        <v>1</v>
      </c>
      <c r="C54" s="17">
        <v>270</v>
      </c>
      <c r="D54" s="17">
        <v>2823.98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1</v>
      </c>
      <c r="R54" s="17">
        <v>270</v>
      </c>
      <c r="S54" s="17">
        <v>2823.98</v>
      </c>
    </row>
    <row r="55" spans="1:19" s="11" customFormat="1" x14ac:dyDescent="0.3">
      <c r="A55" s="17" t="s">
        <v>18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s="11" customFormat="1" x14ac:dyDescent="0.3">
      <c r="A56" s="17" t="s">
        <v>56</v>
      </c>
      <c r="B56" s="17">
        <v>72</v>
      </c>
      <c r="C56" s="17">
        <v>66146</v>
      </c>
      <c r="D56" s="17">
        <v>696110.18500000006</v>
      </c>
      <c r="E56" s="17">
        <v>17</v>
      </c>
      <c r="F56" s="17">
        <v>7051</v>
      </c>
      <c r="G56" s="17">
        <v>89126.195999999996</v>
      </c>
      <c r="H56" s="17">
        <v>3</v>
      </c>
      <c r="I56" s="17">
        <v>546</v>
      </c>
      <c r="J56" s="17">
        <v>3777.652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52</v>
      </c>
      <c r="R56" s="17">
        <v>58549</v>
      </c>
      <c r="S56" s="17">
        <v>603206.33700000006</v>
      </c>
    </row>
    <row r="57" spans="1:19" s="11" customFormat="1" x14ac:dyDescent="0.3">
      <c r="A57" s="17" t="s">
        <v>11</v>
      </c>
      <c r="B57" s="18">
        <f>B56/B$9*100</f>
        <v>23.376623376623375</v>
      </c>
      <c r="C57" s="18">
        <f t="shared" ref="C57" si="43">C56/C$9*100</f>
        <v>25.935742908899851</v>
      </c>
      <c r="D57" s="18">
        <f t="shared" ref="D57" si="44">D56/D$9*100</f>
        <v>19.971900231558735</v>
      </c>
      <c r="E57" s="18">
        <f t="shared" ref="E57" si="45">E56/E$9*100</f>
        <v>38.636363636363633</v>
      </c>
      <c r="F57" s="18">
        <f t="shared" ref="F57" si="46">F56/F$9*100</f>
        <v>25.771198830409357</v>
      </c>
      <c r="G57" s="18">
        <f t="shared" ref="G57" si="47">G56/G$9*100</f>
        <v>32.699219619793872</v>
      </c>
      <c r="H57" s="18">
        <f t="shared" ref="H57" si="48">H56/H$9*100</f>
        <v>7.8947368421052628</v>
      </c>
      <c r="I57" s="18">
        <f t="shared" ref="I57" si="49">I56/I$9*100</f>
        <v>7.2994652406417115</v>
      </c>
      <c r="J57" s="18">
        <f t="shared" ref="J57" si="50">J56/J$9*100</f>
        <v>7.8345718579275037</v>
      </c>
      <c r="K57" s="18">
        <v>0</v>
      </c>
      <c r="L57" s="18">
        <v>0</v>
      </c>
      <c r="M57" s="18">
        <v>0</v>
      </c>
      <c r="N57" s="18">
        <f t="shared" ref="N57" si="51">N56/N$9*100</f>
        <v>0</v>
      </c>
      <c r="O57" s="18">
        <f t="shared" ref="O57" si="52">O56/O$9*100</f>
        <v>0</v>
      </c>
      <c r="P57" s="18">
        <f t="shared" ref="P57" si="53">P56/P$9*100</f>
        <v>0</v>
      </c>
      <c r="Q57" s="18">
        <f t="shared" ref="Q57" si="54">Q56/Q$9*100</f>
        <v>23.111111111111111</v>
      </c>
      <c r="R57" s="18">
        <f t="shared" ref="R57" si="55">R56/R$9*100</f>
        <v>26.740564141912383</v>
      </c>
      <c r="S57" s="18">
        <f t="shared" ref="S57" si="56">S56/S$9*100</f>
        <v>19.081885991572236</v>
      </c>
    </row>
    <row r="58" spans="1:19" s="11" customFormat="1" x14ac:dyDescent="0.3">
      <c r="A58" s="17" t="s">
        <v>57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s="11" customFormat="1" x14ac:dyDescent="0.3">
      <c r="A59" s="17" t="s">
        <v>58</v>
      </c>
      <c r="B59" s="17">
        <v>7</v>
      </c>
      <c r="C59" s="17">
        <v>1093</v>
      </c>
      <c r="D59" s="17">
        <v>14267.203</v>
      </c>
      <c r="E59" s="17">
        <v>6</v>
      </c>
      <c r="F59" s="17">
        <v>613</v>
      </c>
      <c r="G59" s="17">
        <v>10257.203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1</v>
      </c>
      <c r="R59" s="17">
        <v>480</v>
      </c>
      <c r="S59" s="17">
        <v>4010</v>
      </c>
    </row>
    <row r="60" spans="1:19" s="11" customFormat="1" x14ac:dyDescent="0.3">
      <c r="A60" s="17" t="s">
        <v>59</v>
      </c>
      <c r="B60" s="17">
        <v>41</v>
      </c>
      <c r="C60" s="17">
        <v>48840</v>
      </c>
      <c r="D60" s="17">
        <v>520403.25099999999</v>
      </c>
      <c r="E60" s="17">
        <v>9</v>
      </c>
      <c r="F60" s="17">
        <v>6214</v>
      </c>
      <c r="G60" s="17">
        <v>76296.611000000004</v>
      </c>
      <c r="H60" s="17">
        <v>1</v>
      </c>
      <c r="I60" s="17">
        <v>300</v>
      </c>
      <c r="J60" s="17">
        <v>1983.5909999999999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31</v>
      </c>
      <c r="R60" s="17">
        <v>42326</v>
      </c>
      <c r="S60" s="17">
        <v>442123.049</v>
      </c>
    </row>
    <row r="61" spans="1:19" s="11" customFormat="1" x14ac:dyDescent="0.3">
      <c r="A61" s="17" t="s">
        <v>60</v>
      </c>
      <c r="B61" s="17">
        <v>1</v>
      </c>
      <c r="C61" s="17">
        <v>236</v>
      </c>
      <c r="D61" s="17">
        <v>2547.8989999999999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1</v>
      </c>
      <c r="R61" s="17">
        <v>236</v>
      </c>
      <c r="S61" s="17">
        <v>2547.8989999999999</v>
      </c>
    </row>
    <row r="62" spans="1:19" s="11" customFormat="1" x14ac:dyDescent="0.3">
      <c r="A62" s="17" t="s">
        <v>61</v>
      </c>
      <c r="B62" s="17">
        <v>9</v>
      </c>
      <c r="C62" s="17">
        <v>10744</v>
      </c>
      <c r="D62" s="17">
        <v>108383.16</v>
      </c>
      <c r="E62" s="17">
        <v>2</v>
      </c>
      <c r="F62" s="17">
        <v>224</v>
      </c>
      <c r="G62" s="17">
        <v>2572.3820000000001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7</v>
      </c>
      <c r="R62" s="17">
        <v>10520</v>
      </c>
      <c r="S62" s="17">
        <v>105810.77800000001</v>
      </c>
    </row>
    <row r="63" spans="1:19" s="11" customFormat="1" x14ac:dyDescent="0.3">
      <c r="A63" s="17" t="s">
        <v>62</v>
      </c>
      <c r="B63" s="17">
        <v>3</v>
      </c>
      <c r="C63" s="17">
        <v>372</v>
      </c>
      <c r="D63" s="17">
        <v>5965.4049999999997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3</v>
      </c>
      <c r="R63" s="17">
        <v>372</v>
      </c>
      <c r="S63" s="17">
        <v>5965.4049999999997</v>
      </c>
    </row>
    <row r="64" spans="1:19" s="11" customFormat="1" x14ac:dyDescent="0.3">
      <c r="A64" s="17" t="s">
        <v>63</v>
      </c>
      <c r="B64" s="17">
        <v>6</v>
      </c>
      <c r="C64" s="17">
        <v>2061</v>
      </c>
      <c r="D64" s="17">
        <v>18047.231</v>
      </c>
      <c r="E64" s="17">
        <v>0</v>
      </c>
      <c r="F64" s="17">
        <v>0</v>
      </c>
      <c r="G64" s="17">
        <v>0</v>
      </c>
      <c r="H64" s="17">
        <v>2</v>
      </c>
      <c r="I64" s="17">
        <v>246</v>
      </c>
      <c r="J64" s="17">
        <v>1794.0609999999999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4</v>
      </c>
      <c r="R64" s="17">
        <v>1815</v>
      </c>
      <c r="S64" s="17">
        <v>16253.17</v>
      </c>
    </row>
    <row r="65" spans="1:19" s="11" customFormat="1" x14ac:dyDescent="0.3">
      <c r="A65" s="17" t="s">
        <v>64</v>
      </c>
      <c r="B65" s="17">
        <v>5</v>
      </c>
      <c r="C65" s="17">
        <v>2800</v>
      </c>
      <c r="D65" s="17">
        <v>26496.036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5</v>
      </c>
      <c r="R65" s="17">
        <v>2800</v>
      </c>
      <c r="S65" s="17">
        <v>26496.036</v>
      </c>
    </row>
    <row r="66" spans="1:19" s="11" customFormat="1" x14ac:dyDescent="0.3">
      <c r="A66" s="17" t="s">
        <v>65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</row>
    <row r="67" spans="1:19" s="11" customFormat="1" x14ac:dyDescent="0.3">
      <c r="A67" s="17" t="s">
        <v>18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s="11" customFormat="1" x14ac:dyDescent="0.3">
      <c r="A68" s="17" t="s">
        <v>66</v>
      </c>
      <c r="B68" s="17">
        <v>57</v>
      </c>
      <c r="C68" s="17">
        <v>43232</v>
      </c>
      <c r="D68" s="17">
        <v>1415655.719</v>
      </c>
      <c r="E68" s="17">
        <v>8</v>
      </c>
      <c r="F68" s="17">
        <v>4386</v>
      </c>
      <c r="G68" s="17">
        <v>59104.468000000001</v>
      </c>
      <c r="H68" s="17">
        <v>6</v>
      </c>
      <c r="I68" s="17">
        <v>552</v>
      </c>
      <c r="J68" s="17">
        <v>6661.1530000000002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43</v>
      </c>
      <c r="R68" s="17">
        <v>38294</v>
      </c>
      <c r="S68" s="17">
        <v>1349890.098</v>
      </c>
    </row>
    <row r="69" spans="1:19" s="11" customFormat="1" x14ac:dyDescent="0.3">
      <c r="A69" s="17" t="s">
        <v>11</v>
      </c>
      <c r="B69" s="18">
        <f>B68/B$9*100</f>
        <v>18.506493506493506</v>
      </c>
      <c r="C69" s="18">
        <f t="shared" ref="C69" si="57">C68/C$9*100</f>
        <v>16.951199429104683</v>
      </c>
      <c r="D69" s="18">
        <f t="shared" ref="D69" si="58">D68/D$9*100</f>
        <v>40.616177426140581</v>
      </c>
      <c r="E69" s="18">
        <f t="shared" ref="E69" si="59">E68/E$9*100</f>
        <v>18.181818181818183</v>
      </c>
      <c r="F69" s="18">
        <f t="shared" ref="F69" si="60">F68/F$9*100</f>
        <v>16.030701754385966</v>
      </c>
      <c r="G69" s="18">
        <f t="shared" ref="G69" si="61">G68/G$9*100</f>
        <v>21.68464566403215</v>
      </c>
      <c r="H69" s="18">
        <f t="shared" ref="H69" si="62">H68/H$9*100</f>
        <v>15.789473684210526</v>
      </c>
      <c r="I69" s="18">
        <f t="shared" ref="I69" si="63">I68/I$9*100</f>
        <v>7.379679144385026</v>
      </c>
      <c r="J69" s="18">
        <f t="shared" ref="J69" si="64">J68/J$9*100</f>
        <v>13.814740435368151</v>
      </c>
      <c r="K69" s="18">
        <v>0</v>
      </c>
      <c r="L69" s="18">
        <v>0</v>
      </c>
      <c r="M69" s="18">
        <v>0</v>
      </c>
      <c r="N69" s="18">
        <f t="shared" ref="N69" si="65">N68/N$9*100</f>
        <v>0</v>
      </c>
      <c r="O69" s="18">
        <f t="shared" ref="O69" si="66">O68/O$9*100</f>
        <v>0</v>
      </c>
      <c r="P69" s="18">
        <f t="shared" ref="P69" si="67">P68/P$9*100</f>
        <v>0</v>
      </c>
      <c r="Q69" s="18">
        <f t="shared" ref="Q69" si="68">Q68/Q$9*100</f>
        <v>19.111111111111111</v>
      </c>
      <c r="R69" s="18">
        <f t="shared" ref="R69" si="69">R68/R$9*100</f>
        <v>17.489678102963207</v>
      </c>
      <c r="S69" s="18">
        <f t="shared" ref="S69" si="70">S68/S$9*100</f>
        <v>42.702550306908108</v>
      </c>
    </row>
    <row r="70" spans="1:19" s="11" customFormat="1" x14ac:dyDescent="0.3">
      <c r="A70" s="17" t="s">
        <v>67</v>
      </c>
      <c r="B70" s="17">
        <v>25</v>
      </c>
      <c r="C70" s="17">
        <v>15317</v>
      </c>
      <c r="D70" s="17">
        <v>1074415.1599999999</v>
      </c>
      <c r="E70" s="17">
        <v>2</v>
      </c>
      <c r="F70" s="17">
        <v>318</v>
      </c>
      <c r="G70" s="17">
        <v>3291.5070000000001</v>
      </c>
      <c r="H70" s="17">
        <v>2</v>
      </c>
      <c r="I70" s="17">
        <v>214</v>
      </c>
      <c r="J70" s="17">
        <v>863.76900000000001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21</v>
      </c>
      <c r="R70" s="17">
        <v>14785</v>
      </c>
      <c r="S70" s="17">
        <v>1070259.8840000001</v>
      </c>
    </row>
    <row r="71" spans="1:19" s="11" customFormat="1" x14ac:dyDescent="0.3">
      <c r="A71" s="17" t="s">
        <v>68</v>
      </c>
      <c r="B71" s="17">
        <v>15</v>
      </c>
      <c r="C71" s="17">
        <v>7680</v>
      </c>
      <c r="D71" s="17">
        <v>76962.652000000002</v>
      </c>
      <c r="E71" s="17">
        <v>2</v>
      </c>
      <c r="F71" s="17">
        <v>1514</v>
      </c>
      <c r="G71" s="17">
        <v>18524.154999999999</v>
      </c>
      <c r="H71" s="17">
        <v>2</v>
      </c>
      <c r="I71" s="17">
        <v>71</v>
      </c>
      <c r="J71" s="17">
        <v>883.61599999999999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11</v>
      </c>
      <c r="R71" s="17">
        <v>6095</v>
      </c>
      <c r="S71" s="17">
        <v>57554.881000000001</v>
      </c>
    </row>
    <row r="72" spans="1:19" s="11" customFormat="1" x14ac:dyDescent="0.3">
      <c r="A72" s="17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s="11" customFormat="1" x14ac:dyDescent="0.3">
      <c r="A73" s="17" t="s">
        <v>70</v>
      </c>
      <c r="B73" s="17">
        <v>7</v>
      </c>
      <c r="C73" s="17">
        <v>15034</v>
      </c>
      <c r="D73" s="17">
        <v>206796.54399999999</v>
      </c>
      <c r="E73" s="17">
        <v>4</v>
      </c>
      <c r="F73" s="17">
        <v>2554</v>
      </c>
      <c r="G73" s="17">
        <v>37288.805999999997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3</v>
      </c>
      <c r="R73" s="17">
        <v>12480</v>
      </c>
      <c r="S73" s="17">
        <v>169507.73800000001</v>
      </c>
    </row>
    <row r="74" spans="1:19" s="11" customFormat="1" x14ac:dyDescent="0.3">
      <c r="A74" s="17" t="s">
        <v>71</v>
      </c>
      <c r="B74" s="17">
        <v>9</v>
      </c>
      <c r="C74" s="17">
        <v>5045</v>
      </c>
      <c r="D74" s="17">
        <v>55157.658000000003</v>
      </c>
      <c r="E74" s="17">
        <v>0</v>
      </c>
      <c r="F74" s="17">
        <v>0</v>
      </c>
      <c r="G74" s="17">
        <v>0</v>
      </c>
      <c r="H74" s="17">
        <v>2</v>
      </c>
      <c r="I74" s="17">
        <v>267</v>
      </c>
      <c r="J74" s="17">
        <v>4913.768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7</v>
      </c>
      <c r="R74" s="17">
        <v>4778</v>
      </c>
      <c r="S74" s="17">
        <v>50243.89</v>
      </c>
    </row>
    <row r="75" spans="1:19" s="11" customFormat="1" x14ac:dyDescent="0.3">
      <c r="A75" s="17" t="s">
        <v>72</v>
      </c>
      <c r="B75" s="17">
        <v>1</v>
      </c>
      <c r="C75" s="17">
        <v>156</v>
      </c>
      <c r="D75" s="17">
        <v>2323.7049999999999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1</v>
      </c>
      <c r="R75" s="17">
        <v>156</v>
      </c>
      <c r="S75" s="17">
        <v>2323.7049999999999</v>
      </c>
    </row>
    <row r="76" spans="1:19" s="11" customFormat="1" x14ac:dyDescent="0.3">
      <c r="A76" s="17" t="s">
        <v>18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s="11" customFormat="1" x14ac:dyDescent="0.3">
      <c r="A77" s="17" t="s">
        <v>73</v>
      </c>
      <c r="B77" s="17">
        <v>16</v>
      </c>
      <c r="C77" s="17">
        <v>5102</v>
      </c>
      <c r="D77" s="17">
        <v>48062.097000000002</v>
      </c>
      <c r="E77" s="17">
        <v>1</v>
      </c>
      <c r="F77" s="17">
        <v>448</v>
      </c>
      <c r="G77" s="17">
        <v>1223.1120000000001</v>
      </c>
      <c r="H77" s="17">
        <v>1</v>
      </c>
      <c r="I77" s="17">
        <v>140</v>
      </c>
      <c r="J77" s="17">
        <v>1183.598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14</v>
      </c>
      <c r="R77" s="17">
        <v>4514</v>
      </c>
      <c r="S77" s="17">
        <v>45655.387000000002</v>
      </c>
    </row>
    <row r="78" spans="1:19" s="11" customFormat="1" x14ac:dyDescent="0.3">
      <c r="A78" s="17" t="s">
        <v>11</v>
      </c>
      <c r="B78" s="18">
        <f>B77/B$9*100</f>
        <v>5.1948051948051948</v>
      </c>
      <c r="C78" s="18">
        <f t="shared" ref="C78" si="71">C77/C$9*100</f>
        <v>2.0004862020561642</v>
      </c>
      <c r="D78" s="18">
        <f t="shared" ref="D78" si="72">D77/D$9*100</f>
        <v>1.3789360174402538</v>
      </c>
      <c r="E78" s="18">
        <f t="shared" ref="E78" si="73">E77/E$9*100</f>
        <v>2.2727272727272729</v>
      </c>
      <c r="F78" s="18">
        <f t="shared" ref="F78" si="74">F77/F$9*100</f>
        <v>1.6374269005847955</v>
      </c>
      <c r="G78" s="18">
        <f t="shared" ref="G78" si="75">G77/G$9*100</f>
        <v>0.4487435759920162</v>
      </c>
      <c r="H78" s="18">
        <f t="shared" ref="H78" si="76">H77/H$9*100</f>
        <v>2.6315789473684208</v>
      </c>
      <c r="I78" s="18">
        <f t="shared" ref="I78" si="77">I77/I$9*100</f>
        <v>1.8716577540106951</v>
      </c>
      <c r="J78" s="18">
        <f t="shared" ref="J78" si="78">J77/J$9*100</f>
        <v>2.4546950279960349</v>
      </c>
      <c r="K78" s="18">
        <v>0</v>
      </c>
      <c r="L78" s="18">
        <v>0</v>
      </c>
      <c r="M78" s="18">
        <v>0</v>
      </c>
      <c r="N78" s="18">
        <f t="shared" ref="N78" si="79">N77/N$9*100</f>
        <v>0</v>
      </c>
      <c r="O78" s="18">
        <f t="shared" ref="O78" si="80">O77/O$9*100</f>
        <v>0</v>
      </c>
      <c r="P78" s="18">
        <f t="shared" ref="P78" si="81">P77/P$9*100</f>
        <v>0</v>
      </c>
      <c r="Q78" s="18">
        <f t="shared" ref="Q78" si="82">Q77/Q$9*100</f>
        <v>6.2222222222222223</v>
      </c>
      <c r="R78" s="18">
        <f t="shared" ref="R78" si="83">R77/R$9*100</f>
        <v>2.0616390807117542</v>
      </c>
      <c r="S78" s="18">
        <f t="shared" ref="S78" si="84">S77/S$9*100</f>
        <v>1.4442668058958223</v>
      </c>
    </row>
    <row r="79" spans="1:19" s="11" customFormat="1" x14ac:dyDescent="0.3">
      <c r="A79" s="17" t="s">
        <v>74</v>
      </c>
      <c r="B79" s="17">
        <v>1</v>
      </c>
      <c r="C79" s="17">
        <v>140</v>
      </c>
      <c r="D79" s="17">
        <v>1183.598</v>
      </c>
      <c r="E79" s="17">
        <v>0</v>
      </c>
      <c r="F79" s="17">
        <v>0</v>
      </c>
      <c r="G79" s="17">
        <v>0</v>
      </c>
      <c r="H79" s="17">
        <v>1</v>
      </c>
      <c r="I79" s="17">
        <v>140</v>
      </c>
      <c r="J79" s="17">
        <v>1183.598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</row>
    <row r="80" spans="1:19" s="11" customFormat="1" x14ac:dyDescent="0.3">
      <c r="A80" s="17" t="s">
        <v>75</v>
      </c>
      <c r="B80" s="17">
        <v>2</v>
      </c>
      <c r="C80" s="17">
        <v>1251</v>
      </c>
      <c r="D80" s="17">
        <v>8694.89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2</v>
      </c>
      <c r="R80" s="17">
        <v>1251</v>
      </c>
      <c r="S80" s="17">
        <v>8694.89</v>
      </c>
    </row>
    <row r="81" spans="1:19" s="11" customFormat="1" x14ac:dyDescent="0.3">
      <c r="A81" s="17" t="s">
        <v>76</v>
      </c>
      <c r="B81" s="17">
        <v>3</v>
      </c>
      <c r="C81" s="17">
        <v>876</v>
      </c>
      <c r="D81" s="17">
        <v>9652.4470000000001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3</v>
      </c>
      <c r="R81" s="17">
        <v>876</v>
      </c>
      <c r="S81" s="17">
        <v>9652.4470000000001</v>
      </c>
    </row>
    <row r="82" spans="1:19" s="11" customFormat="1" x14ac:dyDescent="0.3">
      <c r="A82" s="17" t="s">
        <v>77</v>
      </c>
      <c r="B82" s="17">
        <v>7</v>
      </c>
      <c r="C82" s="17">
        <v>1970</v>
      </c>
      <c r="D82" s="17">
        <v>24905.162</v>
      </c>
      <c r="E82" s="17">
        <v>1</v>
      </c>
      <c r="F82" s="17">
        <v>448</v>
      </c>
      <c r="G82" s="17">
        <v>1223.1120000000001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6</v>
      </c>
      <c r="R82" s="17">
        <v>1522</v>
      </c>
      <c r="S82" s="17">
        <v>23682.05</v>
      </c>
    </row>
    <row r="83" spans="1:19" s="11" customFormat="1" x14ac:dyDescent="0.3">
      <c r="A83" s="17" t="s">
        <v>78</v>
      </c>
      <c r="B83" s="17">
        <v>1</v>
      </c>
      <c r="C83" s="17">
        <v>80</v>
      </c>
      <c r="D83" s="17">
        <v>480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1</v>
      </c>
      <c r="R83" s="17">
        <v>80</v>
      </c>
      <c r="S83" s="17">
        <v>480</v>
      </c>
    </row>
    <row r="84" spans="1:19" s="11" customFormat="1" x14ac:dyDescent="0.3">
      <c r="A84" s="17" t="s">
        <v>79</v>
      </c>
      <c r="B84" s="17">
        <v>2</v>
      </c>
      <c r="C84" s="17">
        <v>785</v>
      </c>
      <c r="D84" s="17">
        <v>3146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2</v>
      </c>
      <c r="R84" s="17">
        <v>785</v>
      </c>
      <c r="S84" s="17">
        <v>3146</v>
      </c>
    </row>
    <row r="85" spans="1:19" s="11" customFormat="1" x14ac:dyDescent="0.3">
      <c r="A85" s="17" t="s">
        <v>18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 spans="1:19" s="11" customFormat="1" x14ac:dyDescent="0.3">
      <c r="A86" s="17" t="s">
        <v>80</v>
      </c>
      <c r="B86" s="17">
        <v>5</v>
      </c>
      <c r="C86" s="17">
        <v>1596</v>
      </c>
      <c r="D86" s="17">
        <v>23530.848999999998</v>
      </c>
      <c r="E86" s="17">
        <v>0</v>
      </c>
      <c r="F86" s="17">
        <v>0</v>
      </c>
      <c r="G86" s="17">
        <v>0</v>
      </c>
      <c r="H86" s="17">
        <v>1</v>
      </c>
      <c r="I86" s="17">
        <v>256</v>
      </c>
      <c r="J86" s="17">
        <v>387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4</v>
      </c>
      <c r="R86" s="17">
        <v>1340</v>
      </c>
      <c r="S86" s="17">
        <v>23143.848999999998</v>
      </c>
    </row>
    <row r="87" spans="1:19" s="11" customFormat="1" x14ac:dyDescent="0.3">
      <c r="A87" s="17" t="s">
        <v>11</v>
      </c>
      <c r="B87" s="18">
        <f>B86/B$9*100</f>
        <v>1.6233766233766231</v>
      </c>
      <c r="C87" s="18">
        <f t="shared" ref="C87" si="85">C86/C$9*100</f>
        <v>0.62578909809518579</v>
      </c>
      <c r="D87" s="18">
        <f t="shared" ref="D87" si="86">D86/D$9*100</f>
        <v>0.67511692648466781</v>
      </c>
      <c r="E87" s="18">
        <f t="shared" ref="E87" si="87">E86/E$9*100</f>
        <v>0</v>
      </c>
      <c r="F87" s="18">
        <f t="shared" ref="F87" si="88">F86/F$9*100</f>
        <v>0</v>
      </c>
      <c r="G87" s="18">
        <f t="shared" ref="G87" si="89">G86/G$9*100</f>
        <v>0</v>
      </c>
      <c r="H87" s="18">
        <f t="shared" ref="H87" si="90">H86/H$9*100</f>
        <v>2.6315789473684208</v>
      </c>
      <c r="I87" s="18">
        <f t="shared" ref="I87" si="91">I86/I$9*100</f>
        <v>3.4224598930481283</v>
      </c>
      <c r="J87" s="18">
        <f t="shared" ref="J87" si="92">J86/J$9*100</f>
        <v>0.80260948044392233</v>
      </c>
      <c r="K87" s="18">
        <v>0</v>
      </c>
      <c r="L87" s="18">
        <v>0</v>
      </c>
      <c r="M87" s="18">
        <v>0</v>
      </c>
      <c r="N87" s="18">
        <f t="shared" ref="N87" si="93">N86/N$9*100</f>
        <v>0</v>
      </c>
      <c r="O87" s="18">
        <f t="shared" ref="O87" si="94">O86/O$9*100</f>
        <v>0</v>
      </c>
      <c r="P87" s="18">
        <f t="shared" ref="P87" si="95">P86/P$9*100</f>
        <v>0</v>
      </c>
      <c r="Q87" s="18">
        <f t="shared" ref="Q87" si="96">Q86/Q$9*100</f>
        <v>1.7777777777777777</v>
      </c>
      <c r="R87" s="18">
        <f t="shared" ref="R87" si="97">R86/R$9*100</f>
        <v>0.61200628448244365</v>
      </c>
      <c r="S87" s="18">
        <f t="shared" ref="S87" si="98">S86/S$9*100</f>
        <v>0.73213469576690304</v>
      </c>
    </row>
    <row r="88" spans="1:19" s="11" customFormat="1" x14ac:dyDescent="0.3">
      <c r="A88" s="17" t="s">
        <v>81</v>
      </c>
      <c r="B88" s="17">
        <v>1</v>
      </c>
      <c r="C88" s="17">
        <v>57</v>
      </c>
      <c r="D88" s="17">
        <v>426.05099999999999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1</v>
      </c>
      <c r="R88" s="17">
        <v>57</v>
      </c>
      <c r="S88" s="17">
        <v>426.05099999999999</v>
      </c>
    </row>
    <row r="89" spans="1:19" s="11" customFormat="1" x14ac:dyDescent="0.3">
      <c r="A89" s="17" t="s">
        <v>82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</row>
    <row r="90" spans="1:19" s="11" customFormat="1" x14ac:dyDescent="0.3">
      <c r="A90" s="17" t="s">
        <v>83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</row>
    <row r="91" spans="1:19" s="11" customFormat="1" x14ac:dyDescent="0.3">
      <c r="A91" s="17" t="s">
        <v>84</v>
      </c>
      <c r="B91" s="17">
        <v>1</v>
      </c>
      <c r="C91" s="17">
        <v>249</v>
      </c>
      <c r="D91" s="17">
        <v>9719.5010000000002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1</v>
      </c>
      <c r="R91" s="17">
        <v>249</v>
      </c>
      <c r="S91" s="17">
        <v>9719.5010000000002</v>
      </c>
    </row>
    <row r="92" spans="1:19" s="11" customFormat="1" x14ac:dyDescent="0.3">
      <c r="A92" s="17" t="s">
        <v>85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11" customFormat="1" x14ac:dyDescent="0.3">
      <c r="A93" s="17" t="s">
        <v>86</v>
      </c>
      <c r="B93" s="17">
        <v>3</v>
      </c>
      <c r="C93" s="17">
        <v>1290</v>
      </c>
      <c r="D93" s="17">
        <v>13385.297</v>
      </c>
      <c r="E93" s="17">
        <v>0</v>
      </c>
      <c r="F93" s="17">
        <v>0</v>
      </c>
      <c r="G93" s="17">
        <v>0</v>
      </c>
      <c r="H93" s="17">
        <v>1</v>
      </c>
      <c r="I93" s="17">
        <v>256</v>
      </c>
      <c r="J93" s="17">
        <v>387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2</v>
      </c>
      <c r="R93" s="17">
        <v>1034</v>
      </c>
      <c r="S93" s="17">
        <v>12998.297</v>
      </c>
    </row>
    <row r="94" spans="1:19" s="11" customFormat="1" x14ac:dyDescent="0.3">
      <c r="A94" s="17" t="s">
        <v>18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spans="1:19" s="11" customFormat="1" x14ac:dyDescent="0.3">
      <c r="A95" s="17" t="s">
        <v>87</v>
      </c>
      <c r="B95" s="17">
        <v>7</v>
      </c>
      <c r="C95" s="17">
        <v>2745</v>
      </c>
      <c r="D95" s="17">
        <v>28228.067999999999</v>
      </c>
      <c r="E95" s="17">
        <v>0</v>
      </c>
      <c r="F95" s="17">
        <v>0</v>
      </c>
      <c r="G95" s="17">
        <v>0</v>
      </c>
      <c r="H95" s="17">
        <v>1</v>
      </c>
      <c r="I95" s="17">
        <v>153</v>
      </c>
      <c r="J95" s="17">
        <v>1037.365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6</v>
      </c>
      <c r="R95" s="17">
        <v>2592</v>
      </c>
      <c r="S95" s="17">
        <v>27190.703000000001</v>
      </c>
    </row>
    <row r="96" spans="1:19" s="11" customFormat="1" x14ac:dyDescent="0.3">
      <c r="A96" s="17" t="s">
        <v>11</v>
      </c>
      <c r="B96" s="18">
        <f>B95/B$9*100</f>
        <v>2.2727272727272729</v>
      </c>
      <c r="C96" s="18">
        <f t="shared" ref="C96" si="99">C95/C$9*100</f>
        <v>1.0763101969118327</v>
      </c>
      <c r="D96" s="18">
        <f t="shared" ref="D96" si="100">D95/D$9*100</f>
        <v>0.8098835069129976</v>
      </c>
      <c r="E96" s="18">
        <f t="shared" ref="E96" si="101">E95/E$9*100</f>
        <v>0</v>
      </c>
      <c r="F96" s="18">
        <f t="shared" ref="F96" si="102">F95/F$9*100</f>
        <v>0</v>
      </c>
      <c r="G96" s="18">
        <f t="shared" ref="G96" si="103">G95/G$9*100</f>
        <v>0</v>
      </c>
      <c r="H96" s="18">
        <f t="shared" ref="H96" si="104">H95/H$9*100</f>
        <v>2.6315789473684208</v>
      </c>
      <c r="I96" s="18">
        <f t="shared" ref="I96" si="105">I95/I$9*100</f>
        <v>2.0454545454545454</v>
      </c>
      <c r="J96" s="18">
        <f t="shared" ref="J96" si="106">J95/J$9*100</f>
        <v>2.1514185624824536</v>
      </c>
      <c r="K96" s="18">
        <v>0</v>
      </c>
      <c r="L96" s="18">
        <v>0</v>
      </c>
      <c r="M96" s="18">
        <v>0</v>
      </c>
      <c r="N96" s="18">
        <f t="shared" ref="N96" si="107">N95/N$9*100</f>
        <v>0</v>
      </c>
      <c r="O96" s="18">
        <f t="shared" ref="O96" si="108">O95/O$9*100</f>
        <v>0</v>
      </c>
      <c r="P96" s="18">
        <f t="shared" ref="P96" si="109">P95/P$9*100</f>
        <v>0</v>
      </c>
      <c r="Q96" s="18">
        <f t="shared" ref="Q96" si="110">Q95/Q$9*100</f>
        <v>2.666666666666667</v>
      </c>
      <c r="R96" s="18">
        <f t="shared" ref="R96" si="111">R95/R$9*100</f>
        <v>1.1838211114764881</v>
      </c>
      <c r="S96" s="18">
        <f t="shared" ref="S96" si="112">S95/S$9*100</f>
        <v>0.86015325577838075</v>
      </c>
    </row>
    <row r="97" spans="1:19" s="11" customFormat="1" x14ac:dyDescent="0.3">
      <c r="A97" s="17" t="s">
        <v>88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</row>
    <row r="98" spans="1:19" s="11" customFormat="1" x14ac:dyDescent="0.3">
      <c r="A98" s="17" t="s">
        <v>89</v>
      </c>
      <c r="B98" s="17">
        <v>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</row>
    <row r="99" spans="1:19" s="11" customFormat="1" x14ac:dyDescent="0.3">
      <c r="A99" s="17" t="s">
        <v>90</v>
      </c>
      <c r="B99" s="17">
        <v>1</v>
      </c>
      <c r="C99" s="17">
        <v>976</v>
      </c>
      <c r="D99" s="17">
        <v>11717.429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1</v>
      </c>
      <c r="R99" s="17">
        <v>976</v>
      </c>
      <c r="S99" s="17">
        <v>11717.429</v>
      </c>
    </row>
    <row r="100" spans="1:19" s="11" customFormat="1" x14ac:dyDescent="0.3">
      <c r="A100" s="17" t="s">
        <v>91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</row>
    <row r="101" spans="1:19" s="11" customFormat="1" x14ac:dyDescent="0.3">
      <c r="A101" s="17" t="s">
        <v>92</v>
      </c>
      <c r="B101" s="17">
        <v>2</v>
      </c>
      <c r="C101" s="17">
        <v>610</v>
      </c>
      <c r="D101" s="17">
        <v>8664.9750000000004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2</v>
      </c>
      <c r="R101" s="17">
        <v>610</v>
      </c>
      <c r="S101" s="17">
        <v>8664.9750000000004</v>
      </c>
    </row>
    <row r="102" spans="1:19" s="11" customFormat="1" x14ac:dyDescent="0.3">
      <c r="A102" s="17" t="s">
        <v>93</v>
      </c>
      <c r="B102" s="17">
        <v>4</v>
      </c>
      <c r="C102" s="17">
        <v>1159</v>
      </c>
      <c r="D102" s="17">
        <v>7845.6639999999998</v>
      </c>
      <c r="E102" s="17">
        <v>0</v>
      </c>
      <c r="F102" s="17">
        <v>0</v>
      </c>
      <c r="G102" s="17">
        <v>0</v>
      </c>
      <c r="H102" s="17">
        <v>1</v>
      </c>
      <c r="I102" s="17">
        <v>153</v>
      </c>
      <c r="J102" s="17">
        <v>1037.365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3</v>
      </c>
      <c r="R102" s="17">
        <v>1006</v>
      </c>
      <c r="S102" s="17">
        <v>6808.299</v>
      </c>
    </row>
    <row r="103" spans="1:19" s="11" customFormat="1" x14ac:dyDescent="0.3">
      <c r="A103" s="17" t="s">
        <v>18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19" s="11" customFormat="1" x14ac:dyDescent="0.3">
      <c r="A104" s="17" t="s">
        <v>94</v>
      </c>
      <c r="B104" s="17">
        <v>13</v>
      </c>
      <c r="C104" s="17">
        <v>22616</v>
      </c>
      <c r="D104" s="17">
        <v>139971.72700000001</v>
      </c>
      <c r="E104" s="17">
        <v>1</v>
      </c>
      <c r="F104" s="17">
        <v>8061</v>
      </c>
      <c r="G104" s="17">
        <v>51250</v>
      </c>
      <c r="H104" s="17">
        <v>2</v>
      </c>
      <c r="I104" s="17">
        <v>75</v>
      </c>
      <c r="J104" s="17">
        <v>400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10</v>
      </c>
      <c r="R104" s="17">
        <v>14480</v>
      </c>
      <c r="S104" s="17">
        <v>88321.726999999999</v>
      </c>
    </row>
    <row r="105" spans="1:19" s="11" customFormat="1" x14ac:dyDescent="0.3">
      <c r="A105" s="17" t="s">
        <v>11</v>
      </c>
      <c r="B105" s="18">
        <f>B104/B$9*100</f>
        <v>4.220779220779221</v>
      </c>
      <c r="C105" s="18">
        <f t="shared" ref="C105" si="113">C104/C$9*100</f>
        <v>8.8676981469428089</v>
      </c>
      <c r="D105" s="18">
        <f t="shared" ref="D105" si="114">D104/D$9*100</f>
        <v>4.0158891898456792</v>
      </c>
      <c r="E105" s="18">
        <f t="shared" ref="E105" si="115">E104/E$9*100</f>
        <v>2.2727272727272729</v>
      </c>
      <c r="F105" s="18">
        <f t="shared" ref="F105" si="116">F104/F$9*100</f>
        <v>29.462719298245617</v>
      </c>
      <c r="G105" s="18">
        <f t="shared" ref="G105" si="117">G104/G$9*100</f>
        <v>18.802945494436184</v>
      </c>
      <c r="H105" s="18">
        <f t="shared" ref="H105" si="118">H104/H$9*100</f>
        <v>5.2631578947368416</v>
      </c>
      <c r="I105" s="18">
        <f t="shared" ref="I105" si="119">I104/I$9*100</f>
        <v>1.0026737967914439</v>
      </c>
      <c r="J105" s="18">
        <f t="shared" ref="J105" si="120">J104/J$9*100</f>
        <v>0.82957052242265872</v>
      </c>
      <c r="K105" s="18">
        <v>0</v>
      </c>
      <c r="L105" s="18">
        <v>0</v>
      </c>
      <c r="M105" s="18">
        <v>0</v>
      </c>
      <c r="N105" s="18">
        <f t="shared" ref="N105" si="121">N104/N$9*100</f>
        <v>0</v>
      </c>
      <c r="O105" s="18">
        <f t="shared" ref="O105" si="122">O104/O$9*100</f>
        <v>0</v>
      </c>
      <c r="P105" s="18">
        <f t="shared" ref="P105" si="123">P104/P$9*100</f>
        <v>0</v>
      </c>
      <c r="Q105" s="18">
        <f t="shared" ref="Q105" si="124">Q104/Q$9*100</f>
        <v>4.4444444444444446</v>
      </c>
      <c r="R105" s="18">
        <f t="shared" ref="R105" si="125">R104/R$9*100</f>
        <v>6.6133216412729734</v>
      </c>
      <c r="S105" s="18">
        <f t="shared" ref="S105" si="126">S104/S$9*100</f>
        <v>2.7939778178967756</v>
      </c>
    </row>
    <row r="106" spans="1:19" s="11" customFormat="1" x14ac:dyDescent="0.3">
      <c r="A106" s="17" t="s">
        <v>95</v>
      </c>
      <c r="B106" s="17">
        <v>1</v>
      </c>
      <c r="C106" s="17">
        <v>399</v>
      </c>
      <c r="D106" s="17">
        <v>4000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1</v>
      </c>
      <c r="R106" s="17">
        <v>399</v>
      </c>
      <c r="S106" s="17">
        <v>4000</v>
      </c>
    </row>
    <row r="107" spans="1:19" s="11" customFormat="1" x14ac:dyDescent="0.3">
      <c r="A107" s="17" t="s">
        <v>96</v>
      </c>
      <c r="B107" s="17">
        <v>10</v>
      </c>
      <c r="C107" s="17">
        <v>20530</v>
      </c>
      <c r="D107" s="17">
        <v>128813.705</v>
      </c>
      <c r="E107" s="17">
        <v>1</v>
      </c>
      <c r="F107" s="17">
        <v>8061</v>
      </c>
      <c r="G107" s="17">
        <v>51250</v>
      </c>
      <c r="H107" s="17">
        <v>2</v>
      </c>
      <c r="I107" s="17">
        <v>75</v>
      </c>
      <c r="J107" s="17">
        <v>400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7</v>
      </c>
      <c r="R107" s="17">
        <v>12394</v>
      </c>
      <c r="S107" s="17">
        <v>77163.705000000002</v>
      </c>
    </row>
    <row r="108" spans="1:19" s="11" customFormat="1" x14ac:dyDescent="0.3">
      <c r="A108" s="17" t="s">
        <v>97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</row>
    <row r="109" spans="1:19" s="11" customFormat="1" x14ac:dyDescent="0.3">
      <c r="A109" s="17" t="s">
        <v>98</v>
      </c>
      <c r="B109" s="17">
        <v>2</v>
      </c>
      <c r="C109" s="17">
        <v>1687</v>
      </c>
      <c r="D109" s="17">
        <v>7158.0219999999999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2</v>
      </c>
      <c r="R109" s="17">
        <v>1687</v>
      </c>
      <c r="S109" s="17">
        <v>7158.0219999999999</v>
      </c>
    </row>
    <row r="110" spans="1:19" s="11" customFormat="1" x14ac:dyDescent="0.3">
      <c r="A110" s="17" t="s">
        <v>18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 spans="1:19" s="11" customFormat="1" x14ac:dyDescent="0.3">
      <c r="A111" s="17" t="s">
        <v>99</v>
      </c>
      <c r="B111" s="17">
        <v>18</v>
      </c>
      <c r="C111" s="17">
        <v>19340</v>
      </c>
      <c r="D111" s="17">
        <v>189834.935</v>
      </c>
      <c r="E111" s="17">
        <v>4</v>
      </c>
      <c r="F111" s="17">
        <v>3433</v>
      </c>
      <c r="G111" s="17">
        <v>39227.462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14</v>
      </c>
      <c r="R111" s="17">
        <v>15907</v>
      </c>
      <c r="S111" s="17">
        <v>150607.473</v>
      </c>
    </row>
    <row r="112" spans="1:19" s="11" customFormat="1" x14ac:dyDescent="0.3">
      <c r="A112" s="17" t="s">
        <v>11</v>
      </c>
      <c r="B112" s="18">
        <f>B111/B$9*100</f>
        <v>5.8441558441558437</v>
      </c>
      <c r="C112" s="18">
        <f t="shared" ref="C112" si="127">C111/C$9*100</f>
        <v>7.5831836824316383</v>
      </c>
      <c r="D112" s="18">
        <f t="shared" ref="D112" si="128">D111/D$9*100</f>
        <v>5.446500373047173</v>
      </c>
      <c r="E112" s="18">
        <f t="shared" ref="E112" si="129">E111/E$9*100</f>
        <v>9.0909090909090917</v>
      </c>
      <c r="F112" s="18">
        <f t="shared" ref="F112" si="130">F111/F$9*100</f>
        <v>12.547514619883041</v>
      </c>
      <c r="G112" s="18">
        <f t="shared" ref="G112" si="131">G111/G$9*100</f>
        <v>14.392035704801298</v>
      </c>
      <c r="H112" s="18">
        <f t="shared" ref="H112" si="132">H111/H$9*100</f>
        <v>0</v>
      </c>
      <c r="I112" s="18">
        <f t="shared" ref="I112" si="133">I111/I$9*100</f>
        <v>0</v>
      </c>
      <c r="J112" s="18">
        <f t="shared" ref="J112" si="134">J111/J$9*100</f>
        <v>0</v>
      </c>
      <c r="K112" s="18">
        <v>0</v>
      </c>
      <c r="L112" s="18">
        <v>0</v>
      </c>
      <c r="M112" s="18">
        <v>0</v>
      </c>
      <c r="N112" s="18">
        <f t="shared" ref="N112" si="135">N111/N$9*100</f>
        <v>0</v>
      </c>
      <c r="O112" s="18">
        <f t="shared" ref="O112" si="136">O111/O$9*100</f>
        <v>0</v>
      </c>
      <c r="P112" s="18">
        <f t="shared" ref="P112" si="137">P111/P$9*100</f>
        <v>0</v>
      </c>
      <c r="Q112" s="18">
        <f t="shared" ref="Q112" si="138">Q111/Q$9*100</f>
        <v>6.2222222222222223</v>
      </c>
      <c r="R112" s="18">
        <f t="shared" ref="R112" si="139">R111/R$9*100</f>
        <v>7.2650626621359935</v>
      </c>
      <c r="S112" s="18">
        <f t="shared" ref="S112" si="140">S111/S$9*100</f>
        <v>4.7643309643558887</v>
      </c>
    </row>
    <row r="113" spans="1:19" s="11" customFormat="1" x14ac:dyDescent="0.3">
      <c r="A113" s="17" t="s">
        <v>100</v>
      </c>
      <c r="B113" s="17">
        <v>2</v>
      </c>
      <c r="C113" s="17">
        <v>4587</v>
      </c>
      <c r="D113" s="17">
        <v>30259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2</v>
      </c>
      <c r="R113" s="17">
        <v>4587</v>
      </c>
      <c r="S113" s="17">
        <v>30259</v>
      </c>
    </row>
    <row r="114" spans="1:19" s="11" customFormat="1" x14ac:dyDescent="0.3">
      <c r="A114" s="17" t="s">
        <v>101</v>
      </c>
      <c r="B114" s="17">
        <v>9</v>
      </c>
      <c r="C114" s="17">
        <v>5547</v>
      </c>
      <c r="D114" s="17">
        <v>64384.065000000002</v>
      </c>
      <c r="E114" s="17">
        <v>2</v>
      </c>
      <c r="F114" s="17">
        <v>3168</v>
      </c>
      <c r="G114" s="17">
        <v>36795.597000000002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7</v>
      </c>
      <c r="R114" s="17">
        <v>2379</v>
      </c>
      <c r="S114" s="17">
        <v>27588.468000000001</v>
      </c>
    </row>
    <row r="115" spans="1:19" s="11" customFormat="1" x14ac:dyDescent="0.3">
      <c r="A115" s="17" t="s">
        <v>102</v>
      </c>
      <c r="B115" s="17">
        <v>0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</row>
    <row r="116" spans="1:19" s="11" customFormat="1" x14ac:dyDescent="0.3">
      <c r="A116" s="17" t="s">
        <v>103</v>
      </c>
      <c r="B116" s="17">
        <v>5</v>
      </c>
      <c r="C116" s="17">
        <v>5811</v>
      </c>
      <c r="D116" s="17">
        <v>53313.178999999996</v>
      </c>
      <c r="E116" s="17">
        <v>2</v>
      </c>
      <c r="F116" s="17">
        <v>265</v>
      </c>
      <c r="G116" s="17">
        <v>2431.8649999999998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3</v>
      </c>
      <c r="R116" s="17">
        <v>5546</v>
      </c>
      <c r="S116" s="17">
        <v>50881.313999999998</v>
      </c>
    </row>
    <row r="117" spans="1:19" s="11" customFormat="1" x14ac:dyDescent="0.3">
      <c r="A117" s="17" t="s">
        <v>104</v>
      </c>
      <c r="B117" s="17">
        <v>2</v>
      </c>
      <c r="C117" s="17">
        <v>3395</v>
      </c>
      <c r="D117" s="17">
        <v>41878.690999999999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2</v>
      </c>
      <c r="R117" s="17">
        <v>3395</v>
      </c>
      <c r="S117" s="17">
        <v>41878.690999999999</v>
      </c>
    </row>
    <row r="118" spans="1:19" s="11" customFormat="1" x14ac:dyDescent="0.3">
      <c r="A118" s="17" t="s">
        <v>18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 spans="1:19" s="11" customFormat="1" x14ac:dyDescent="0.3">
      <c r="A119" s="17" t="s">
        <v>105</v>
      </c>
      <c r="B119" s="17">
        <v>14</v>
      </c>
      <c r="C119" s="17">
        <v>16840</v>
      </c>
      <c r="D119" s="17">
        <v>168360.106</v>
      </c>
      <c r="E119" s="17">
        <v>0</v>
      </c>
      <c r="F119" s="17">
        <v>0</v>
      </c>
      <c r="G119" s="17">
        <v>0</v>
      </c>
      <c r="H119" s="17">
        <v>3</v>
      </c>
      <c r="I119" s="17">
        <v>550</v>
      </c>
      <c r="J119" s="17">
        <v>6077.2039999999997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11</v>
      </c>
      <c r="R119" s="17">
        <v>16290</v>
      </c>
      <c r="S119" s="17">
        <v>162282.902</v>
      </c>
    </row>
    <row r="120" spans="1:19" s="11" customFormat="1" x14ac:dyDescent="0.3">
      <c r="A120" s="17" t="s">
        <v>11</v>
      </c>
      <c r="B120" s="18">
        <f>B119/B$9*100</f>
        <v>4.5454545454545459</v>
      </c>
      <c r="C120" s="18">
        <f t="shared" ref="C120" si="141">C119/C$9*100</f>
        <v>6.6029376014554693</v>
      </c>
      <c r="D120" s="18">
        <f t="shared" ref="D120" si="142">D119/D$9*100</f>
        <v>4.8303721342716068</v>
      </c>
      <c r="E120" s="18">
        <f t="shared" ref="E120" si="143">E119/E$9*100</f>
        <v>0</v>
      </c>
      <c r="F120" s="18">
        <f t="shared" ref="F120" si="144">F119/F$9*100</f>
        <v>0</v>
      </c>
      <c r="G120" s="18">
        <f t="shared" ref="G120" si="145">G119/G$9*100</f>
        <v>0</v>
      </c>
      <c r="H120" s="18">
        <f t="shared" ref="H120" si="146">H119/H$9*100</f>
        <v>7.8947368421052628</v>
      </c>
      <c r="I120" s="18">
        <f t="shared" ref="I120" si="147">I119/I$9*100</f>
        <v>7.3529411764705888</v>
      </c>
      <c r="J120" s="18">
        <f t="shared" ref="J120" si="148">J119/J$9*100</f>
        <v>12.603673242872675</v>
      </c>
      <c r="K120" s="18">
        <v>0</v>
      </c>
      <c r="L120" s="18">
        <v>0</v>
      </c>
      <c r="M120" s="18">
        <v>0</v>
      </c>
      <c r="N120" s="18">
        <f t="shared" ref="N120" si="149">N119/N$9*100</f>
        <v>0</v>
      </c>
      <c r="O120" s="18">
        <f t="shared" ref="O120" si="150">O119/O$9*100</f>
        <v>0</v>
      </c>
      <c r="P120" s="18">
        <f t="shared" ref="P120" si="151">P119/P$9*100</f>
        <v>0</v>
      </c>
      <c r="Q120" s="18">
        <f t="shared" ref="Q120" si="152">Q119/Q$9*100</f>
        <v>4.8888888888888893</v>
      </c>
      <c r="R120" s="18">
        <f t="shared" ref="R120" si="153">R119/R$9*100</f>
        <v>7.4399868464320953</v>
      </c>
      <c r="S120" s="18">
        <f t="shared" ref="S120" si="154">S119/S$9*100</f>
        <v>5.1336725833261427</v>
      </c>
    </row>
    <row r="121" spans="1:19" s="11" customFormat="1" x14ac:dyDescent="0.3">
      <c r="A121" s="17" t="s">
        <v>106</v>
      </c>
      <c r="B121" s="17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</row>
    <row r="122" spans="1:19" s="11" customFormat="1" x14ac:dyDescent="0.3">
      <c r="A122" s="17" t="s">
        <v>107</v>
      </c>
      <c r="B122" s="17">
        <v>2</v>
      </c>
      <c r="C122" s="17">
        <v>715</v>
      </c>
      <c r="D122" s="17">
        <v>12082.886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2</v>
      </c>
      <c r="R122" s="17">
        <v>715</v>
      </c>
      <c r="S122" s="17">
        <v>12082.886</v>
      </c>
    </row>
    <row r="123" spans="1:19" s="11" customFormat="1" x14ac:dyDescent="0.3">
      <c r="A123" s="17" t="s">
        <v>108</v>
      </c>
      <c r="B123" s="17">
        <v>8</v>
      </c>
      <c r="C123" s="17">
        <v>13984</v>
      </c>
      <c r="D123" s="17">
        <v>131015.351</v>
      </c>
      <c r="E123" s="17">
        <v>0</v>
      </c>
      <c r="F123" s="17">
        <v>0</v>
      </c>
      <c r="G123" s="17">
        <v>0</v>
      </c>
      <c r="H123" s="17">
        <v>1</v>
      </c>
      <c r="I123" s="17">
        <v>255</v>
      </c>
      <c r="J123" s="17">
        <v>1047.133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7</v>
      </c>
      <c r="R123" s="17">
        <v>13729</v>
      </c>
      <c r="S123" s="17">
        <v>129968.21799999999</v>
      </c>
    </row>
    <row r="124" spans="1:19" s="11" customFormat="1" x14ac:dyDescent="0.3">
      <c r="A124" s="17" t="s">
        <v>109</v>
      </c>
      <c r="B124" s="17">
        <v>1</v>
      </c>
      <c r="C124" s="17">
        <v>8</v>
      </c>
      <c r="D124" s="17">
        <v>70</v>
      </c>
      <c r="E124" s="17">
        <v>0</v>
      </c>
      <c r="F124" s="17">
        <v>0</v>
      </c>
      <c r="G124" s="17">
        <v>0</v>
      </c>
      <c r="H124" s="17">
        <v>1</v>
      </c>
      <c r="I124" s="17">
        <v>8</v>
      </c>
      <c r="J124" s="17">
        <v>70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</row>
    <row r="125" spans="1:19" s="11" customFormat="1" x14ac:dyDescent="0.3">
      <c r="A125" s="17" t="s">
        <v>110</v>
      </c>
      <c r="B125" s="17">
        <v>3</v>
      </c>
      <c r="C125" s="17">
        <v>2133</v>
      </c>
      <c r="D125" s="17">
        <v>25191.868999999999</v>
      </c>
      <c r="E125" s="17">
        <v>0</v>
      </c>
      <c r="F125" s="17">
        <v>0</v>
      </c>
      <c r="G125" s="17">
        <v>0</v>
      </c>
      <c r="H125" s="17">
        <v>1</v>
      </c>
      <c r="I125" s="17">
        <v>287</v>
      </c>
      <c r="J125" s="17">
        <v>4960.0709999999999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2</v>
      </c>
      <c r="R125" s="17">
        <v>1846</v>
      </c>
      <c r="S125" s="17">
        <v>20231.797999999999</v>
      </c>
    </row>
    <row r="126" spans="1:19" s="11" customFormat="1" x14ac:dyDescent="0.3">
      <c r="A126" s="17" t="s">
        <v>111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</row>
    <row r="127" spans="1:19" s="11" customFormat="1" x14ac:dyDescent="0.3">
      <c r="A127" s="17" t="s">
        <v>112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</row>
    <row r="128" spans="1:19" s="11" customFormat="1" x14ac:dyDescent="0.3">
      <c r="A128" s="17" t="s">
        <v>18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 s="11" customFormat="1" x14ac:dyDescent="0.3">
      <c r="A129" s="17" t="s">
        <v>113</v>
      </c>
      <c r="B129" s="17">
        <v>2</v>
      </c>
      <c r="C129" s="17">
        <v>695</v>
      </c>
      <c r="D129" s="17">
        <v>10222.948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2</v>
      </c>
      <c r="R129" s="17">
        <v>695</v>
      </c>
      <c r="S129" s="17">
        <v>10222.948</v>
      </c>
    </row>
    <row r="130" spans="1:19" s="11" customFormat="1" x14ac:dyDescent="0.3">
      <c r="A130" s="17" t="s">
        <v>11</v>
      </c>
      <c r="B130" s="18">
        <f>B129/B$9*100</f>
        <v>0.64935064935064934</v>
      </c>
      <c r="C130" s="18">
        <f t="shared" ref="C130" si="155">C129/C$9*100</f>
        <v>0.27250841051137475</v>
      </c>
      <c r="D130" s="18">
        <f t="shared" ref="D130" si="156">D129/D$9*100</f>
        <v>0.2933037066946706</v>
      </c>
      <c r="E130" s="18">
        <f t="shared" ref="E130" si="157">E129/E$9*100</f>
        <v>0</v>
      </c>
      <c r="F130" s="18">
        <f t="shared" ref="F130" si="158">F129/F$9*100</f>
        <v>0</v>
      </c>
      <c r="G130" s="18">
        <f t="shared" ref="G130" si="159">G129/G$9*100</f>
        <v>0</v>
      </c>
      <c r="H130" s="18">
        <f t="shared" ref="H130" si="160">H129/H$9*100</f>
        <v>0</v>
      </c>
      <c r="I130" s="18">
        <f t="shared" ref="I130" si="161">I129/I$9*100</f>
        <v>0</v>
      </c>
      <c r="J130" s="18">
        <f t="shared" ref="J130" si="162">J129/J$9*100</f>
        <v>0</v>
      </c>
      <c r="K130" s="18">
        <v>0</v>
      </c>
      <c r="L130" s="18">
        <v>0</v>
      </c>
      <c r="M130" s="18">
        <v>0</v>
      </c>
      <c r="N130" s="18">
        <f t="shared" ref="N130" si="163">N129/N$9*100</f>
        <v>0</v>
      </c>
      <c r="O130" s="18">
        <f t="shared" ref="O130" si="164">O129/O$9*100</f>
        <v>0</v>
      </c>
      <c r="P130" s="18">
        <f t="shared" ref="P130" si="165">P129/P$9*100</f>
        <v>0</v>
      </c>
      <c r="Q130" s="18">
        <f t="shared" ref="Q130" si="166">Q129/Q$9*100</f>
        <v>0.88888888888888884</v>
      </c>
      <c r="R130" s="18">
        <f t="shared" ref="R130" si="167">R129/R$9*100</f>
        <v>0.31742116993678982</v>
      </c>
      <c r="S130" s="18">
        <f t="shared" ref="S130" si="168">S129/S$9*100</f>
        <v>0.32339369842159227</v>
      </c>
    </row>
    <row r="131" spans="1:19" s="11" customFormat="1" x14ac:dyDescent="0.3">
      <c r="A131" s="17" t="s">
        <v>114</v>
      </c>
      <c r="B131" s="17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</row>
    <row r="132" spans="1:19" s="11" customFormat="1" x14ac:dyDescent="0.3">
      <c r="A132" s="17" t="s">
        <v>115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</row>
    <row r="133" spans="1:19" s="11" customFormat="1" x14ac:dyDescent="0.3">
      <c r="A133" s="17" t="s">
        <v>116</v>
      </c>
      <c r="B133" s="17">
        <v>1</v>
      </c>
      <c r="C133" s="17">
        <v>25</v>
      </c>
      <c r="D133" s="17">
        <v>222.40600000000001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1</v>
      </c>
      <c r="R133" s="17">
        <v>25</v>
      </c>
      <c r="S133" s="17">
        <v>222.40600000000001</v>
      </c>
    </row>
    <row r="134" spans="1:19" s="11" customFormat="1" x14ac:dyDescent="0.3">
      <c r="A134" s="17" t="s">
        <v>117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</row>
    <row r="135" spans="1:19" s="11" customFormat="1" x14ac:dyDescent="0.3">
      <c r="A135" s="5" t="s">
        <v>118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</row>
    <row r="136" spans="1:19" s="11" customFormat="1" x14ac:dyDescent="0.3">
      <c r="A136" s="5" t="s">
        <v>119</v>
      </c>
      <c r="B136" s="17">
        <v>1</v>
      </c>
      <c r="C136" s="17">
        <v>670</v>
      </c>
      <c r="D136" s="17">
        <v>10000.541999999999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1</v>
      </c>
      <c r="R136" s="17">
        <v>670</v>
      </c>
      <c r="S136" s="17">
        <v>10000.541999999999</v>
      </c>
    </row>
    <row r="137" spans="1:19" s="11" customFormat="1" x14ac:dyDescent="0.3">
      <c r="A137" s="17" t="s">
        <v>18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 s="11" customFormat="1" x14ac:dyDescent="0.3">
      <c r="A138" s="17" t="s">
        <v>120</v>
      </c>
      <c r="B138" s="17">
        <v>18</v>
      </c>
      <c r="C138" s="17">
        <v>27887</v>
      </c>
      <c r="D138" s="17">
        <v>210214.193</v>
      </c>
      <c r="E138" s="17">
        <v>0</v>
      </c>
      <c r="F138" s="17">
        <v>0</v>
      </c>
      <c r="G138" s="17">
        <v>0</v>
      </c>
      <c r="H138" s="17">
        <v>12</v>
      </c>
      <c r="I138" s="17">
        <v>3685</v>
      </c>
      <c r="J138" s="17">
        <v>19627.734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6</v>
      </c>
      <c r="R138" s="17">
        <v>24202</v>
      </c>
      <c r="S138" s="17">
        <v>190586.459</v>
      </c>
    </row>
    <row r="139" spans="1:19" s="11" customFormat="1" x14ac:dyDescent="0.3">
      <c r="A139" s="17" t="s">
        <v>11</v>
      </c>
      <c r="B139" s="18">
        <f>B138/B$9*100</f>
        <v>5.8441558441558437</v>
      </c>
      <c r="C139" s="18">
        <f t="shared" ref="C139" si="169">C138/C$9*100</f>
        <v>10.934448984072962</v>
      </c>
      <c r="D139" s="18">
        <f t="shared" ref="D139" si="170">D138/D$9*100</f>
        <v>6.0311958944454052</v>
      </c>
      <c r="E139" s="18">
        <f t="shared" ref="E139" si="171">E138/E$9*100</f>
        <v>0</v>
      </c>
      <c r="F139" s="18">
        <f t="shared" ref="F139" si="172">F138/F$9*100</f>
        <v>0</v>
      </c>
      <c r="G139" s="18">
        <f t="shared" ref="G139" si="173">G138/G$9*100</f>
        <v>0</v>
      </c>
      <c r="H139" s="18">
        <f t="shared" ref="H139" si="174">H138/H$9*100</f>
        <v>31.578947368421051</v>
      </c>
      <c r="I139" s="18">
        <f t="shared" ref="I139" si="175">I138/I$9*100</f>
        <v>49.264705882352942</v>
      </c>
      <c r="J139" s="18">
        <f t="shared" ref="J139" si="176">J138/J$9*100</f>
        <v>40.706473870882455</v>
      </c>
      <c r="K139" s="18">
        <v>0</v>
      </c>
      <c r="L139" s="18">
        <v>0</v>
      </c>
      <c r="M139" s="18">
        <v>0</v>
      </c>
      <c r="N139" s="18">
        <f t="shared" ref="N139" si="177">N138/N$9*100</f>
        <v>0</v>
      </c>
      <c r="O139" s="18">
        <f t="shared" ref="O139" si="178">O138/O$9*100</f>
        <v>0</v>
      </c>
      <c r="P139" s="18">
        <f t="shared" ref="P139" si="179">P138/P$9*100</f>
        <v>0</v>
      </c>
      <c r="Q139" s="18">
        <f t="shared" ref="Q139" si="180">Q138/Q$9*100</f>
        <v>2.666666666666667</v>
      </c>
      <c r="R139" s="18">
        <f t="shared" ref="R139" si="181">R138/R$9*100</f>
        <v>11.053564251525447</v>
      </c>
      <c r="S139" s="18">
        <f t="shared" ref="S139" si="182">S138/S$9*100</f>
        <v>6.0290299671958776</v>
      </c>
    </row>
    <row r="140" spans="1:19" s="11" customFormat="1" x14ac:dyDescent="0.3">
      <c r="A140" s="17" t="s">
        <v>121</v>
      </c>
      <c r="B140" s="17">
        <v>11</v>
      </c>
      <c r="C140" s="17">
        <v>3666</v>
      </c>
      <c r="D140" s="17">
        <v>19532.734</v>
      </c>
      <c r="E140" s="17">
        <v>0</v>
      </c>
      <c r="F140" s="17">
        <v>0</v>
      </c>
      <c r="G140" s="17">
        <v>0</v>
      </c>
      <c r="H140" s="17">
        <v>11</v>
      </c>
      <c r="I140" s="17">
        <v>3666</v>
      </c>
      <c r="J140" s="17">
        <v>19532.734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</row>
    <row r="141" spans="1:19" s="11" customFormat="1" x14ac:dyDescent="0.3">
      <c r="A141" s="17" t="s">
        <v>122</v>
      </c>
      <c r="B141" s="17">
        <v>3</v>
      </c>
      <c r="C141" s="17">
        <v>324</v>
      </c>
      <c r="D141" s="17">
        <v>1113.316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3</v>
      </c>
      <c r="R141" s="17">
        <v>324</v>
      </c>
      <c r="S141" s="17">
        <v>1113.316</v>
      </c>
    </row>
    <row r="142" spans="1:19" s="11" customFormat="1" x14ac:dyDescent="0.3">
      <c r="A142" s="17" t="s">
        <v>123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</row>
    <row r="143" spans="1:19" s="11" customFormat="1" x14ac:dyDescent="0.3">
      <c r="A143" s="17" t="s">
        <v>124</v>
      </c>
      <c r="B143" s="17">
        <v>1</v>
      </c>
      <c r="C143" s="17">
        <v>19</v>
      </c>
      <c r="D143" s="17">
        <v>95</v>
      </c>
      <c r="E143" s="17">
        <v>0</v>
      </c>
      <c r="F143" s="17">
        <v>0</v>
      </c>
      <c r="G143" s="17">
        <v>0</v>
      </c>
      <c r="H143" s="17">
        <v>1</v>
      </c>
      <c r="I143" s="17">
        <v>19</v>
      </c>
      <c r="J143" s="17">
        <v>95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</row>
    <row r="144" spans="1:19" s="11" customFormat="1" x14ac:dyDescent="0.3">
      <c r="A144" s="17" t="s">
        <v>125</v>
      </c>
      <c r="B144" s="17">
        <v>3</v>
      </c>
      <c r="C144" s="17">
        <v>23878</v>
      </c>
      <c r="D144" s="17">
        <v>189473.14300000001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3</v>
      </c>
      <c r="R144" s="17">
        <v>23878</v>
      </c>
      <c r="S144" s="17">
        <v>189473.14300000001</v>
      </c>
    </row>
    <row r="145" spans="1:19" s="11" customFormat="1" x14ac:dyDescent="0.3">
      <c r="A145" s="5" t="s">
        <v>126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</row>
    <row r="146" spans="1:19" s="11" customFormat="1" x14ac:dyDescent="0.3">
      <c r="A146" s="17" t="s">
        <v>127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</row>
    <row r="147" spans="1:19" s="11" customFormat="1" x14ac:dyDescent="0.3">
      <c r="A147" s="17" t="s">
        <v>18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spans="1:19" s="11" customFormat="1" x14ac:dyDescent="0.3">
      <c r="A148" s="17" t="s">
        <v>128</v>
      </c>
      <c r="B148" s="17">
        <v>23</v>
      </c>
      <c r="C148" s="17">
        <v>10301</v>
      </c>
      <c r="D148" s="17">
        <v>160419.18700000001</v>
      </c>
      <c r="E148" s="17">
        <v>4</v>
      </c>
      <c r="F148" s="17">
        <v>1926</v>
      </c>
      <c r="G148" s="17">
        <v>4730.634</v>
      </c>
      <c r="H148" s="17">
        <v>2</v>
      </c>
      <c r="I148" s="17">
        <v>285</v>
      </c>
      <c r="J148" s="17">
        <v>1133.1110000000001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17</v>
      </c>
      <c r="R148" s="17">
        <v>8090</v>
      </c>
      <c r="S148" s="17">
        <v>154555.44200000001</v>
      </c>
    </row>
    <row r="149" spans="1:19" s="11" customFormat="1" x14ac:dyDescent="0.3">
      <c r="A149" s="17" t="s">
        <v>11</v>
      </c>
      <c r="B149" s="18">
        <f>B148/B$9*100</f>
        <v>7.4675324675324672</v>
      </c>
      <c r="C149" s="18">
        <f t="shared" ref="C149" si="183">C148/C$9*100</f>
        <v>4.0390059520542039</v>
      </c>
      <c r="D149" s="18">
        <f t="shared" ref="D149" si="184">D148/D$9*100</f>
        <v>4.6025414755162117</v>
      </c>
      <c r="E149" s="18">
        <f t="shared" ref="E149" si="185">E148/E$9*100</f>
        <v>9.0909090909090917</v>
      </c>
      <c r="F149" s="18">
        <f t="shared" ref="F149" si="186">F148/F$9*100</f>
        <v>7.0394736842105257</v>
      </c>
      <c r="G149" s="18">
        <f t="shared" ref="G149" si="187">G148/G$9*100</f>
        <v>1.7356068928024704</v>
      </c>
      <c r="H149" s="18">
        <f t="shared" ref="H149" si="188">H148/H$9*100</f>
        <v>5.2631578947368416</v>
      </c>
      <c r="I149" s="18">
        <f t="shared" ref="I149" si="189">I148/I$9*100</f>
        <v>3.8101604278074865</v>
      </c>
      <c r="J149" s="18">
        <f t="shared" ref="J149" si="190">J148/J$9*100</f>
        <v>2.3499887105821533</v>
      </c>
      <c r="K149" s="18">
        <v>0</v>
      </c>
      <c r="L149" s="18">
        <v>0</v>
      </c>
      <c r="M149" s="18">
        <v>0</v>
      </c>
      <c r="N149" s="18">
        <f t="shared" ref="N149" si="191">N148/N$9*100</f>
        <v>0</v>
      </c>
      <c r="O149" s="18">
        <f t="shared" ref="O149" si="192">O148/O$9*100</f>
        <v>0</v>
      </c>
      <c r="P149" s="18">
        <f t="shared" ref="P149" si="193">P148/P$9*100</f>
        <v>0</v>
      </c>
      <c r="Q149" s="18">
        <f t="shared" ref="Q149" si="194">Q148/Q$9*100</f>
        <v>7.5555555555555554</v>
      </c>
      <c r="R149" s="18">
        <f t="shared" ref="R149" si="195">R148/R$9*100</f>
        <v>3.6948737622857974</v>
      </c>
      <c r="S149" s="18">
        <f t="shared" ref="S149" si="196">S148/S$9*100</f>
        <v>4.8892213869779937</v>
      </c>
    </row>
    <row r="150" spans="1:19" s="11" customFormat="1" x14ac:dyDescent="0.3">
      <c r="A150" s="17" t="s">
        <v>129</v>
      </c>
      <c r="B150" s="17">
        <v>12</v>
      </c>
      <c r="C150" s="17">
        <v>2759</v>
      </c>
      <c r="D150" s="17">
        <v>71816.346000000005</v>
      </c>
      <c r="E150" s="17">
        <v>4</v>
      </c>
      <c r="F150" s="17">
        <v>1926</v>
      </c>
      <c r="G150" s="17">
        <v>4730.634</v>
      </c>
      <c r="H150" s="17">
        <v>1</v>
      </c>
      <c r="I150" s="17">
        <v>225</v>
      </c>
      <c r="J150" s="17">
        <v>890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7</v>
      </c>
      <c r="R150" s="17">
        <v>608</v>
      </c>
      <c r="S150" s="17">
        <v>66195.712</v>
      </c>
    </row>
    <row r="151" spans="1:19" s="11" customFormat="1" x14ac:dyDescent="0.3">
      <c r="A151" s="17" t="s">
        <v>130</v>
      </c>
      <c r="B151" s="17">
        <v>6</v>
      </c>
      <c r="C151" s="17">
        <v>6911</v>
      </c>
      <c r="D151" s="17">
        <v>53841.775999999998</v>
      </c>
      <c r="E151" s="17">
        <v>0</v>
      </c>
      <c r="F151" s="17">
        <v>0</v>
      </c>
      <c r="G151" s="17">
        <v>0</v>
      </c>
      <c r="H151" s="17">
        <v>1</v>
      </c>
      <c r="I151" s="17">
        <v>60</v>
      </c>
      <c r="J151" s="17">
        <v>243.11099999999999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5</v>
      </c>
      <c r="R151" s="17">
        <v>6851</v>
      </c>
      <c r="S151" s="17">
        <v>53598.665000000001</v>
      </c>
    </row>
    <row r="152" spans="1:19" s="11" customFormat="1" x14ac:dyDescent="0.3">
      <c r="A152" s="17" t="s">
        <v>131</v>
      </c>
      <c r="B152" s="17">
        <v>1</v>
      </c>
      <c r="C152" s="17">
        <v>19</v>
      </c>
      <c r="D152" s="17">
        <v>123.721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1</v>
      </c>
      <c r="R152" s="17">
        <v>19</v>
      </c>
      <c r="S152" s="17">
        <v>123.721</v>
      </c>
    </row>
    <row r="153" spans="1:19" s="11" customFormat="1" x14ac:dyDescent="0.3">
      <c r="A153" s="17" t="s">
        <v>132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</row>
    <row r="154" spans="1:19" s="11" customFormat="1" x14ac:dyDescent="0.3">
      <c r="A154" s="17" t="s">
        <v>133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</row>
    <row r="155" spans="1:19" s="11" customFormat="1" x14ac:dyDescent="0.3">
      <c r="A155" s="17" t="s">
        <v>134</v>
      </c>
      <c r="B155" s="17">
        <v>4</v>
      </c>
      <c r="C155" s="17">
        <v>612</v>
      </c>
      <c r="D155" s="17">
        <v>34637.343999999997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4</v>
      </c>
      <c r="R155" s="17">
        <v>612</v>
      </c>
      <c r="S155" s="17">
        <v>34637.343999999997</v>
      </c>
    </row>
    <row r="156" spans="1:19" s="11" customFormat="1" x14ac:dyDescent="0.3">
      <c r="A156" s="17" t="s">
        <v>18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spans="1:19" s="11" customFormat="1" x14ac:dyDescent="0.3">
      <c r="A157" s="17" t="s">
        <v>135</v>
      </c>
      <c r="B157" s="17">
        <v>18</v>
      </c>
      <c r="C157" s="17">
        <v>6305</v>
      </c>
      <c r="D157" s="17">
        <v>75505.838000000003</v>
      </c>
      <c r="E157" s="17">
        <v>7</v>
      </c>
      <c r="F157" s="17">
        <v>1943</v>
      </c>
      <c r="G157" s="17">
        <v>25881.588</v>
      </c>
      <c r="H157" s="17">
        <v>1</v>
      </c>
      <c r="I157" s="17">
        <v>154</v>
      </c>
      <c r="J157" s="17">
        <v>684.14499999999998</v>
      </c>
      <c r="K157" s="17">
        <v>0</v>
      </c>
      <c r="L157" s="17">
        <v>0</v>
      </c>
      <c r="M157" s="17">
        <v>0</v>
      </c>
      <c r="N157" s="17">
        <v>1</v>
      </c>
      <c r="O157" s="17">
        <v>1246</v>
      </c>
      <c r="P157" s="17">
        <v>3520.2179999999998</v>
      </c>
      <c r="Q157" s="17">
        <v>9</v>
      </c>
      <c r="R157" s="17">
        <v>2962</v>
      </c>
      <c r="S157" s="17">
        <v>45419.887000000002</v>
      </c>
    </row>
    <row r="158" spans="1:19" s="11" customFormat="1" x14ac:dyDescent="0.3">
      <c r="A158" s="17" t="s">
        <v>11</v>
      </c>
      <c r="B158" s="18">
        <f>B157/B$9*100</f>
        <v>5.8441558441558437</v>
      </c>
      <c r="C158" s="18">
        <f t="shared" ref="C158" si="197">C157/C$9*100</f>
        <v>2.4721806162218964</v>
      </c>
      <c r="D158" s="18">
        <f t="shared" ref="D158" si="198">D157/D$9*100</f>
        <v>2.1663166204589235</v>
      </c>
      <c r="E158" s="18">
        <f t="shared" ref="E158" si="199">E157/E$9*100</f>
        <v>15.909090909090908</v>
      </c>
      <c r="F158" s="18">
        <f t="shared" ref="F158" si="200">F157/F$9*100</f>
        <v>7.1016081871345031</v>
      </c>
      <c r="G158" s="18">
        <f t="shared" ref="G158" si="201">G157/G$9*100</f>
        <v>9.4956114824088509</v>
      </c>
      <c r="H158" s="18">
        <f t="shared" ref="H158" si="202">H157/H$9*100</f>
        <v>2.6315789473684208</v>
      </c>
      <c r="I158" s="18">
        <f t="shared" ref="I158" si="203">I157/I$9*100</f>
        <v>2.0588235294117645</v>
      </c>
      <c r="J158" s="18">
        <f t="shared" ref="J158" si="204">J157/J$9*100</f>
        <v>1.4188663126571246</v>
      </c>
      <c r="K158" s="18">
        <v>0</v>
      </c>
      <c r="L158" s="18">
        <v>0</v>
      </c>
      <c r="M158" s="18">
        <v>0</v>
      </c>
      <c r="N158" s="18">
        <f t="shared" ref="N158" si="205">N157/N$9*100</f>
        <v>100</v>
      </c>
      <c r="O158" s="18">
        <f t="shared" ref="O158" si="206">O157/O$9*100</f>
        <v>100</v>
      </c>
      <c r="P158" s="18">
        <f t="shared" ref="P158" si="207">P157/P$9*100</f>
        <v>100</v>
      </c>
      <c r="Q158" s="18">
        <f t="shared" ref="Q158" si="208">Q157/Q$9*100</f>
        <v>4</v>
      </c>
      <c r="R158" s="18">
        <f t="shared" ref="R158" si="209">R157/R$9*100</f>
        <v>1.3528079213708941</v>
      </c>
      <c r="S158" s="18">
        <f t="shared" ref="S158" si="210">S157/S$9*100</f>
        <v>1.4368169767488597</v>
      </c>
    </row>
    <row r="159" spans="1:19" s="11" customFormat="1" x14ac:dyDescent="0.3">
      <c r="A159" s="17" t="s">
        <v>136</v>
      </c>
      <c r="B159" s="17">
        <v>6</v>
      </c>
      <c r="C159" s="17">
        <v>1561</v>
      </c>
      <c r="D159" s="17">
        <v>23683.851999999999</v>
      </c>
      <c r="E159" s="17">
        <v>2</v>
      </c>
      <c r="F159" s="17">
        <v>46</v>
      </c>
      <c r="G159" s="17">
        <v>2296.5010000000002</v>
      </c>
      <c r="H159" s="17">
        <v>1</v>
      </c>
      <c r="I159" s="17">
        <v>154</v>
      </c>
      <c r="J159" s="17">
        <v>684.14499999999998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3</v>
      </c>
      <c r="R159" s="17">
        <v>1361</v>
      </c>
      <c r="S159" s="17">
        <v>20703.205999999998</v>
      </c>
    </row>
    <row r="160" spans="1:19" s="11" customFormat="1" x14ac:dyDescent="0.3">
      <c r="A160" s="17" t="s">
        <v>137</v>
      </c>
      <c r="B160" s="17">
        <v>1</v>
      </c>
      <c r="C160" s="17">
        <v>160</v>
      </c>
      <c r="D160" s="17">
        <v>5000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1</v>
      </c>
      <c r="R160" s="17">
        <v>160</v>
      </c>
      <c r="S160" s="17">
        <v>5000</v>
      </c>
    </row>
    <row r="161" spans="1:19" s="11" customFormat="1" x14ac:dyDescent="0.3">
      <c r="A161" s="17" t="s">
        <v>138</v>
      </c>
      <c r="B161" s="17">
        <v>7</v>
      </c>
      <c r="C161" s="17">
        <v>2132</v>
      </c>
      <c r="D161" s="17">
        <v>26525.09</v>
      </c>
      <c r="E161" s="17">
        <v>5</v>
      </c>
      <c r="F161" s="17">
        <v>1897</v>
      </c>
      <c r="G161" s="17">
        <v>23585.087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2</v>
      </c>
      <c r="R161" s="17">
        <v>235</v>
      </c>
      <c r="S161" s="17">
        <v>2940.0030000000002</v>
      </c>
    </row>
    <row r="162" spans="1:19" s="11" customFormat="1" x14ac:dyDescent="0.3">
      <c r="A162" s="17" t="s">
        <v>139</v>
      </c>
      <c r="B162" s="17">
        <v>3</v>
      </c>
      <c r="C162" s="17">
        <v>1206</v>
      </c>
      <c r="D162" s="17">
        <v>16776.678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3</v>
      </c>
      <c r="R162" s="17">
        <v>1206</v>
      </c>
      <c r="S162" s="17">
        <v>16776.678</v>
      </c>
    </row>
    <row r="163" spans="1:19" s="11" customFormat="1" x14ac:dyDescent="0.3">
      <c r="A163" s="5" t="s">
        <v>140</v>
      </c>
      <c r="B163" s="17">
        <v>1</v>
      </c>
      <c r="C163" s="17">
        <v>1246</v>
      </c>
      <c r="D163" s="17">
        <v>3520.2179999999998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1</v>
      </c>
      <c r="O163" s="17">
        <v>1246</v>
      </c>
      <c r="P163" s="17">
        <v>3520.2179999999998</v>
      </c>
      <c r="Q163" s="17">
        <v>0</v>
      </c>
      <c r="R163" s="17">
        <v>0</v>
      </c>
      <c r="S163" s="17">
        <v>0</v>
      </c>
    </row>
    <row r="164" spans="1:19" s="11" customFormat="1" x14ac:dyDescent="0.3">
      <c r="A164" s="5" t="s">
        <v>18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 spans="1:19" s="11" customFormat="1" x14ac:dyDescent="0.3">
      <c r="A165" s="17" t="s">
        <v>141</v>
      </c>
      <c r="B165" s="17">
        <v>3</v>
      </c>
      <c r="C165" s="17">
        <v>4946</v>
      </c>
      <c r="D165" s="17">
        <v>57261.671000000002</v>
      </c>
      <c r="E165" s="17">
        <v>0</v>
      </c>
      <c r="F165" s="17">
        <v>0</v>
      </c>
      <c r="G165" s="17">
        <v>0</v>
      </c>
      <c r="H165" s="17">
        <v>1</v>
      </c>
      <c r="I165" s="17">
        <v>96</v>
      </c>
      <c r="J165" s="17">
        <v>254.77099999999999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2</v>
      </c>
      <c r="R165" s="17">
        <v>4850</v>
      </c>
      <c r="S165" s="17">
        <v>57006.9</v>
      </c>
    </row>
    <row r="166" spans="1:19" s="11" customFormat="1" x14ac:dyDescent="0.3">
      <c r="A166" s="17" t="s">
        <v>11</v>
      </c>
      <c r="B166" s="18">
        <f>B165/B$9*100</f>
        <v>0.97402597402597402</v>
      </c>
      <c r="C166" s="18">
        <f t="shared" ref="C166" si="211">C165/C$9*100</f>
        <v>1.9393188466032514</v>
      </c>
      <c r="D166" s="18">
        <f t="shared" ref="D166" si="212">D165/D$9*100</f>
        <v>1.6428783904438058</v>
      </c>
      <c r="E166" s="18">
        <f t="shared" ref="E166" si="213">E165/E$9*100</f>
        <v>0</v>
      </c>
      <c r="F166" s="18">
        <f t="shared" ref="F166" si="214">F165/F$9*100</f>
        <v>0</v>
      </c>
      <c r="G166" s="18">
        <f t="shared" ref="G166" si="215">G165/G$9*100</f>
        <v>0</v>
      </c>
      <c r="H166" s="18">
        <f t="shared" ref="H166" si="216">H165/H$9*100</f>
        <v>2.6315789473684208</v>
      </c>
      <c r="I166" s="18">
        <f t="shared" ref="I166" si="217">I165/I$9*100</f>
        <v>1.2834224598930482</v>
      </c>
      <c r="J166" s="18">
        <f t="shared" ref="J166" si="218">J165/J$9*100</f>
        <v>0.52837627892035788</v>
      </c>
      <c r="K166" s="18">
        <v>0</v>
      </c>
      <c r="L166" s="18">
        <v>0</v>
      </c>
      <c r="M166" s="18">
        <v>0</v>
      </c>
      <c r="N166" s="18">
        <f t="shared" ref="N166" si="219">N165/N$9*100</f>
        <v>0</v>
      </c>
      <c r="O166" s="18">
        <f t="shared" ref="O166" si="220">O165/O$9*100</f>
        <v>0</v>
      </c>
      <c r="P166" s="18">
        <f t="shared" ref="P166" si="221">P165/P$9*100</f>
        <v>0</v>
      </c>
      <c r="Q166" s="18">
        <f t="shared" ref="Q166" si="222">Q165/Q$9*100</f>
        <v>0.88888888888888884</v>
      </c>
      <c r="R166" s="18">
        <f t="shared" ref="R166" si="223">R165/R$9*100</f>
        <v>2.2150973729401877</v>
      </c>
      <c r="S166" s="18">
        <f t="shared" ref="S166" si="224">S165/S$9*100</f>
        <v>1.8033616356602684</v>
      </c>
    </row>
    <row r="167" spans="1:19" s="11" customFormat="1" x14ac:dyDescent="0.3">
      <c r="A167" s="17" t="s">
        <v>142</v>
      </c>
      <c r="B167" s="17">
        <v>1</v>
      </c>
      <c r="C167" s="17">
        <v>200</v>
      </c>
      <c r="D167" s="17">
        <v>2350.8000000000002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1</v>
      </c>
      <c r="R167" s="17">
        <v>200</v>
      </c>
      <c r="S167" s="17">
        <v>2350.8000000000002</v>
      </c>
    </row>
    <row r="168" spans="1:19" s="11" customFormat="1" x14ac:dyDescent="0.3">
      <c r="A168" s="17" t="s">
        <v>143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</row>
    <row r="169" spans="1:19" s="11" customFormat="1" x14ac:dyDescent="0.3">
      <c r="A169" s="17" t="s">
        <v>144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</row>
    <row r="170" spans="1:19" s="11" customFormat="1" x14ac:dyDescent="0.3">
      <c r="A170" s="17" t="s">
        <v>145</v>
      </c>
      <c r="B170" s="17">
        <v>1</v>
      </c>
      <c r="C170" s="17">
        <v>96</v>
      </c>
      <c r="D170" s="17">
        <v>254.77099999999999</v>
      </c>
      <c r="E170" s="17">
        <v>0</v>
      </c>
      <c r="F170" s="17">
        <v>0</v>
      </c>
      <c r="G170" s="17">
        <v>0</v>
      </c>
      <c r="H170" s="17">
        <v>1</v>
      </c>
      <c r="I170" s="17">
        <v>96</v>
      </c>
      <c r="J170" s="17">
        <v>254.77099999999999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</row>
    <row r="171" spans="1:19" s="11" customFormat="1" x14ac:dyDescent="0.3">
      <c r="A171" s="17" t="s">
        <v>146</v>
      </c>
      <c r="B171" s="17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</row>
    <row r="172" spans="1:19" s="11" customFormat="1" x14ac:dyDescent="0.3">
      <c r="A172" s="5" t="s">
        <v>147</v>
      </c>
      <c r="B172" s="17">
        <v>1</v>
      </c>
      <c r="C172" s="17">
        <v>4650</v>
      </c>
      <c r="D172" s="17">
        <v>54656.1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1</v>
      </c>
      <c r="R172" s="17">
        <v>4650</v>
      </c>
      <c r="S172" s="17">
        <v>54656.1</v>
      </c>
    </row>
    <row r="173" spans="1:19" s="11" customFormat="1" x14ac:dyDescent="0.3">
      <c r="A173" s="17" t="s">
        <v>18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 spans="1:19" s="11" customFormat="1" ht="27.6" x14ac:dyDescent="0.3">
      <c r="A174" s="19" t="s">
        <v>148</v>
      </c>
      <c r="B174" s="17">
        <v>0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</row>
    <row r="175" spans="1:19" s="11" customFormat="1" x14ac:dyDescent="0.3">
      <c r="A175" s="17" t="s">
        <v>11</v>
      </c>
      <c r="B175" s="18">
        <f>B174/B$9*100</f>
        <v>0</v>
      </c>
      <c r="C175" s="18">
        <f t="shared" ref="C175" si="225">C174/C$9*100</f>
        <v>0</v>
      </c>
      <c r="D175" s="18">
        <f t="shared" ref="D175" si="226">D174/D$9*100</f>
        <v>0</v>
      </c>
      <c r="E175" s="18">
        <f t="shared" ref="E175" si="227">E174/E$9*100</f>
        <v>0</v>
      </c>
      <c r="F175" s="18">
        <f t="shared" ref="F175" si="228">F174/F$9*100</f>
        <v>0</v>
      </c>
      <c r="G175" s="18">
        <f t="shared" ref="G175" si="229">G174/G$9*100</f>
        <v>0</v>
      </c>
      <c r="H175" s="18">
        <f t="shared" ref="H175" si="230">H174/H$9*100</f>
        <v>0</v>
      </c>
      <c r="I175" s="18">
        <f t="shared" ref="I175" si="231">I174/I$9*100</f>
        <v>0</v>
      </c>
      <c r="J175" s="18">
        <f t="shared" ref="J175" si="232">J174/J$9*100</f>
        <v>0</v>
      </c>
      <c r="K175" s="18">
        <v>0</v>
      </c>
      <c r="L175" s="18">
        <v>0</v>
      </c>
      <c r="M175" s="18">
        <v>0</v>
      </c>
      <c r="N175" s="18">
        <f t="shared" ref="N175" si="233">N174/N$9*100</f>
        <v>0</v>
      </c>
      <c r="O175" s="18">
        <f t="shared" ref="O175" si="234">O174/O$9*100</f>
        <v>0</v>
      </c>
      <c r="P175" s="18">
        <f t="shared" ref="P175" si="235">P174/P$9*100</f>
        <v>0</v>
      </c>
      <c r="Q175" s="18">
        <f t="shared" ref="Q175" si="236">Q174/Q$9*100</f>
        <v>0</v>
      </c>
      <c r="R175" s="18">
        <f t="shared" ref="R175" si="237">R174/R$9*100</f>
        <v>0</v>
      </c>
      <c r="S175" s="18">
        <f t="shared" ref="S175" si="238">S174/S$9*100</f>
        <v>0</v>
      </c>
    </row>
    <row r="176" spans="1:19" s="11" customFormat="1" x14ac:dyDescent="0.3">
      <c r="A176" s="17" t="s">
        <v>149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</row>
    <row r="177" spans="1:19" s="11" customFormat="1" x14ac:dyDescent="0.3">
      <c r="A177" s="17" t="s">
        <v>150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</row>
    <row r="178" spans="1:19" s="11" customFormat="1" x14ac:dyDescent="0.3">
      <c r="A178" s="17" t="s">
        <v>151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</row>
    <row r="179" spans="1:19" s="11" customFormat="1" x14ac:dyDescent="0.3">
      <c r="A179" s="17" t="s">
        <v>152</v>
      </c>
      <c r="B179" s="17">
        <v>0</v>
      </c>
      <c r="C179" s="17">
        <v>0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</row>
    <row r="180" spans="1:19" s="11" customFormat="1" x14ac:dyDescent="0.3">
      <c r="A180" s="17" t="s">
        <v>153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</row>
    <row r="181" spans="1:19" s="11" customFormat="1" x14ac:dyDescent="0.3">
      <c r="A181" s="15" t="s">
        <v>17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</row>
    <row r="182" spans="1:19" s="11" customForma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 spans="1:19" s="11" customFormat="1" x14ac:dyDescent="0.3">
      <c r="A183" s="7" t="s">
        <v>14</v>
      </c>
    </row>
    <row r="184" spans="1:19" s="11" customFormat="1" x14ac:dyDescent="0.3">
      <c r="A184" s="13" t="s">
        <v>12</v>
      </c>
    </row>
    <row r="185" spans="1:19" s="11" customFormat="1" x14ac:dyDescent="0.3">
      <c r="A185" s="13" t="s">
        <v>15</v>
      </c>
    </row>
    <row r="186" spans="1:19" s="11" customFormat="1" x14ac:dyDescent="0.3">
      <c r="A186" s="6"/>
    </row>
    <row r="187" spans="1:19" s="11" customFormat="1" x14ac:dyDescent="0.3"/>
    <row r="188" spans="1:19" s="11" customFormat="1" x14ac:dyDescent="0.3"/>
    <row r="189" spans="1:19" s="11" customFormat="1" x14ac:dyDescent="0.3"/>
    <row r="190" spans="1:19" s="11" customFormat="1" x14ac:dyDescent="0.3"/>
    <row r="191" spans="1:19" s="11" customFormat="1" x14ac:dyDescent="0.3"/>
    <row r="192" spans="1:19" s="11" customFormat="1" x14ac:dyDescent="0.3"/>
    <row r="193" s="11" customFormat="1" x14ac:dyDescent="0.3"/>
    <row r="194" s="11" customFormat="1" x14ac:dyDescent="0.3"/>
    <row r="195" s="11" customFormat="1" x14ac:dyDescent="0.3"/>
    <row r="196" s="11" customFormat="1" x14ac:dyDescent="0.3"/>
    <row r="197" s="11" customFormat="1" x14ac:dyDescent="0.3"/>
    <row r="198" s="11" customFormat="1" x14ac:dyDescent="0.3"/>
    <row r="199" s="11" customFormat="1" x14ac:dyDescent="0.3"/>
    <row r="200" s="11" customFormat="1" x14ac:dyDescent="0.3"/>
    <row r="201" s="11" customFormat="1" x14ac:dyDescent="0.3"/>
    <row r="202" s="11" customFormat="1" x14ac:dyDescent="0.3"/>
    <row r="203" s="11" customFormat="1" x14ac:dyDescent="0.3"/>
    <row r="204" s="11" customFormat="1" x14ac:dyDescent="0.3"/>
    <row r="205" s="11" customFormat="1" x14ac:dyDescent="0.3"/>
    <row r="206" s="11" customFormat="1" x14ac:dyDescent="0.3"/>
    <row r="207" s="11" customFormat="1" x14ac:dyDescent="0.3"/>
    <row r="208" s="11" customFormat="1" x14ac:dyDescent="0.3"/>
    <row r="209" s="11" customFormat="1" x14ac:dyDescent="0.3"/>
    <row r="210" s="11" customFormat="1" x14ac:dyDescent="0.3"/>
    <row r="211" s="11" customFormat="1" x14ac:dyDescent="0.3"/>
    <row r="212" s="11" customFormat="1" x14ac:dyDescent="0.3"/>
    <row r="213" s="11" customFormat="1" x14ac:dyDescent="0.3"/>
    <row r="214" s="11" customFormat="1" x14ac:dyDescent="0.3"/>
    <row r="215" s="11" customFormat="1" x14ac:dyDescent="0.3"/>
    <row r="216" s="11" customFormat="1" x14ac:dyDescent="0.3"/>
    <row r="217" s="11" customFormat="1" x14ac:dyDescent="0.3"/>
    <row r="218" s="11" customFormat="1" x14ac:dyDescent="0.3"/>
    <row r="219" s="11" customFormat="1" x14ac:dyDescent="0.3"/>
    <row r="220" s="11" customFormat="1" x14ac:dyDescent="0.3"/>
    <row r="221" s="11" customFormat="1" x14ac:dyDescent="0.3"/>
    <row r="222" s="11" customFormat="1" x14ac:dyDescent="0.3"/>
    <row r="223" s="11" customFormat="1" x14ac:dyDescent="0.3"/>
    <row r="224" s="11" customFormat="1" x14ac:dyDescent="0.3"/>
    <row r="225" s="11" customFormat="1" x14ac:dyDescent="0.3"/>
    <row r="226" s="11" customFormat="1" x14ac:dyDescent="0.3"/>
    <row r="227" s="11" customFormat="1" x14ac:dyDescent="0.3"/>
    <row r="228" s="11" customFormat="1" x14ac:dyDescent="0.3"/>
    <row r="229" s="11" customFormat="1" x14ac:dyDescent="0.3"/>
    <row r="230" s="11" customFormat="1" x14ac:dyDescent="0.3"/>
    <row r="231" s="11" customFormat="1" x14ac:dyDescent="0.3"/>
    <row r="232" s="11" customFormat="1" x14ac:dyDescent="0.3"/>
    <row r="233" s="11" customFormat="1" x14ac:dyDescent="0.3"/>
    <row r="234" s="11" customFormat="1" x14ac:dyDescent="0.3"/>
    <row r="235" s="11" customFormat="1" x14ac:dyDescent="0.3"/>
    <row r="236" s="11" customFormat="1" x14ac:dyDescent="0.3"/>
    <row r="237" s="11" customFormat="1" x14ac:dyDescent="0.3"/>
    <row r="238" s="11" customFormat="1" x14ac:dyDescent="0.3"/>
    <row r="239" s="11" customFormat="1" x14ac:dyDescent="0.3"/>
    <row r="240" s="11" customFormat="1" x14ac:dyDescent="0.3"/>
    <row r="241" s="11" customFormat="1" x14ac:dyDescent="0.3"/>
    <row r="242" s="11" customFormat="1" x14ac:dyDescent="0.3"/>
    <row r="243" s="11" customFormat="1" x14ac:dyDescent="0.3"/>
    <row r="244" s="11" customFormat="1" x14ac:dyDescent="0.3"/>
    <row r="245" s="11" customFormat="1" x14ac:dyDescent="0.3"/>
    <row r="246" s="11" customFormat="1" x14ac:dyDescent="0.3"/>
    <row r="247" s="11" customFormat="1" x14ac:dyDescent="0.3"/>
    <row r="248" s="11" customFormat="1" x14ac:dyDescent="0.3"/>
    <row r="249" s="11" customFormat="1" x14ac:dyDescent="0.3"/>
    <row r="250" s="11" customFormat="1" x14ac:dyDescent="0.3"/>
    <row r="251" s="11" customFormat="1" x14ac:dyDescent="0.3"/>
    <row r="252" s="11" customFormat="1" x14ac:dyDescent="0.3"/>
    <row r="253" s="11" customFormat="1" x14ac:dyDescent="0.3"/>
    <row r="254" s="11" customFormat="1" x14ac:dyDescent="0.3"/>
    <row r="255" s="11" customFormat="1" x14ac:dyDescent="0.3"/>
    <row r="256" s="11" customFormat="1" x14ac:dyDescent="0.3"/>
    <row r="257" s="11" customFormat="1" x14ac:dyDescent="0.3"/>
    <row r="258" s="11" customFormat="1" x14ac:dyDescent="0.3"/>
    <row r="259" s="11" customFormat="1" x14ac:dyDescent="0.3"/>
    <row r="260" s="11" customFormat="1" x14ac:dyDescent="0.3"/>
    <row r="261" s="11" customFormat="1" x14ac:dyDescent="0.3"/>
    <row r="262" s="11" customFormat="1" x14ac:dyDescent="0.3"/>
    <row r="263" s="11" customFormat="1" x14ac:dyDescent="0.3"/>
    <row r="264" s="11" customFormat="1" x14ac:dyDescent="0.3"/>
    <row r="265" s="11" customFormat="1" x14ac:dyDescent="0.3"/>
    <row r="266" s="11" customFormat="1" x14ac:dyDescent="0.3"/>
    <row r="267" s="11" customFormat="1" x14ac:dyDescent="0.3"/>
    <row r="268" s="11" customFormat="1" x14ac:dyDescent="0.3"/>
    <row r="269" s="11" customFormat="1" x14ac:dyDescent="0.3"/>
    <row r="270" s="11" customFormat="1" x14ac:dyDescent="0.3"/>
    <row r="271" s="11" customFormat="1" x14ac:dyDescent="0.3"/>
    <row r="272" s="11" customFormat="1" x14ac:dyDescent="0.3"/>
    <row r="273" s="11" customFormat="1" x14ac:dyDescent="0.3"/>
    <row r="274" s="11" customFormat="1" x14ac:dyDescent="0.3"/>
    <row r="275" s="11" customFormat="1" x14ac:dyDescent="0.3"/>
    <row r="276" s="11" customFormat="1" x14ac:dyDescent="0.3"/>
    <row r="277" s="11" customFormat="1" x14ac:dyDescent="0.3"/>
    <row r="278" s="11" customFormat="1" x14ac:dyDescent="0.3"/>
    <row r="279" s="11" customFormat="1" x14ac:dyDescent="0.3"/>
    <row r="280" s="11" customFormat="1" x14ac:dyDescent="0.3"/>
    <row r="281" s="11" customFormat="1" x14ac:dyDescent="0.3"/>
    <row r="282" s="11" customFormat="1" x14ac:dyDescent="0.3"/>
    <row r="283" s="11" customFormat="1" x14ac:dyDescent="0.3"/>
    <row r="284" s="11" customFormat="1" x14ac:dyDescent="0.3"/>
    <row r="285" s="11" customFormat="1" x14ac:dyDescent="0.3"/>
    <row r="286" s="11" customFormat="1" x14ac:dyDescent="0.3"/>
    <row r="287" s="11" customFormat="1" x14ac:dyDescent="0.3"/>
    <row r="288" s="11" customFormat="1" x14ac:dyDescent="0.3"/>
    <row r="289" s="11" customFormat="1" x14ac:dyDescent="0.3"/>
    <row r="290" s="11" customFormat="1" x14ac:dyDescent="0.3"/>
    <row r="291" s="11" customFormat="1" x14ac:dyDescent="0.3"/>
    <row r="292" s="11" customFormat="1" x14ac:dyDescent="0.3"/>
    <row r="293" s="11" customFormat="1" x14ac:dyDescent="0.3"/>
    <row r="294" s="11" customFormat="1" x14ac:dyDescent="0.3"/>
    <row r="295" s="11" customFormat="1" x14ac:dyDescent="0.3"/>
    <row r="296" s="11" customFormat="1" x14ac:dyDescent="0.3"/>
    <row r="297" s="11" customFormat="1" x14ac:dyDescent="0.3"/>
    <row r="298" s="11" customFormat="1" x14ac:dyDescent="0.3"/>
    <row r="299" s="11" customFormat="1" x14ac:dyDescent="0.3"/>
    <row r="300" s="11" customFormat="1" x14ac:dyDescent="0.3"/>
    <row r="301" s="11" customFormat="1" x14ac:dyDescent="0.3"/>
    <row r="302" s="11" customFormat="1" x14ac:dyDescent="0.3"/>
    <row r="303" s="11" customFormat="1" x14ac:dyDescent="0.3"/>
    <row r="304" s="11" customFormat="1" x14ac:dyDescent="0.3"/>
    <row r="305" s="11" customFormat="1" x14ac:dyDescent="0.3"/>
    <row r="306" s="11" customFormat="1" x14ac:dyDescent="0.3"/>
    <row r="307" s="11" customFormat="1" x14ac:dyDescent="0.3"/>
    <row r="308" s="11" customFormat="1" x14ac:dyDescent="0.3"/>
    <row r="309" s="11" customFormat="1" x14ac:dyDescent="0.3"/>
    <row r="310" s="11" customFormat="1" x14ac:dyDescent="0.3"/>
    <row r="311" s="11" customFormat="1" x14ac:dyDescent="0.3"/>
    <row r="312" s="11" customFormat="1" x14ac:dyDescent="0.3"/>
    <row r="313" s="11" customFormat="1" x14ac:dyDescent="0.3"/>
    <row r="314" s="11" customFormat="1" x14ac:dyDescent="0.3"/>
    <row r="315" s="11" customFormat="1" x14ac:dyDescent="0.3"/>
    <row r="316" s="11" customFormat="1" x14ac:dyDescent="0.3"/>
    <row r="317" s="11" customFormat="1" x14ac:dyDescent="0.3"/>
    <row r="318" s="11" customFormat="1" x14ac:dyDescent="0.3"/>
    <row r="319" s="11" customFormat="1" x14ac:dyDescent="0.3"/>
    <row r="320" s="11" customFormat="1" x14ac:dyDescent="0.3"/>
    <row r="321" s="11" customFormat="1" x14ac:dyDescent="0.3"/>
    <row r="322" s="11" customFormat="1" x14ac:dyDescent="0.3"/>
    <row r="323" s="11" customFormat="1" x14ac:dyDescent="0.3"/>
    <row r="324" s="11" customFormat="1" x14ac:dyDescent="0.3"/>
    <row r="325" s="11" customFormat="1" x14ac:dyDescent="0.3"/>
    <row r="326" s="11" customFormat="1" x14ac:dyDescent="0.3"/>
    <row r="327" s="11" customFormat="1" x14ac:dyDescent="0.3"/>
    <row r="328" s="11" customFormat="1" x14ac:dyDescent="0.3"/>
    <row r="329" s="11" customFormat="1" x14ac:dyDescent="0.3"/>
    <row r="330" s="11" customFormat="1" x14ac:dyDescent="0.3"/>
    <row r="331" s="11" customFormat="1" x14ac:dyDescent="0.3"/>
    <row r="332" s="11" customFormat="1" x14ac:dyDescent="0.3"/>
    <row r="333" s="11" customFormat="1" x14ac:dyDescent="0.3"/>
    <row r="334" s="11" customFormat="1" x14ac:dyDescent="0.3"/>
    <row r="335" s="11" customFormat="1" x14ac:dyDescent="0.3"/>
    <row r="336" s="11" customFormat="1" x14ac:dyDescent="0.3"/>
    <row r="337" s="11" customFormat="1" x14ac:dyDescent="0.3"/>
    <row r="338" s="11" customFormat="1" x14ac:dyDescent="0.3"/>
    <row r="339" s="11" customFormat="1" x14ac:dyDescent="0.3"/>
    <row r="340" s="11" customFormat="1" x14ac:dyDescent="0.3"/>
    <row r="341" s="11" customFormat="1" x14ac:dyDescent="0.3"/>
    <row r="342" s="11" customFormat="1" x14ac:dyDescent="0.3"/>
    <row r="343" s="11" customFormat="1" x14ac:dyDescent="0.3"/>
    <row r="344" s="11" customFormat="1" x14ac:dyDescent="0.3"/>
    <row r="345" s="11" customFormat="1" x14ac:dyDescent="0.3"/>
    <row r="346" s="11" customFormat="1" x14ac:dyDescent="0.3"/>
    <row r="347" s="11" customFormat="1" x14ac:dyDescent="0.3"/>
    <row r="348" s="11" customFormat="1" x14ac:dyDescent="0.3"/>
    <row r="349" s="11" customFormat="1" x14ac:dyDescent="0.3"/>
    <row r="350" s="11" customFormat="1" x14ac:dyDescent="0.3"/>
    <row r="351" s="11" customFormat="1" x14ac:dyDescent="0.3"/>
    <row r="352" s="11" customFormat="1" x14ac:dyDescent="0.3"/>
    <row r="353" s="11" customFormat="1" x14ac:dyDescent="0.3"/>
    <row r="354" s="11" customFormat="1" x14ac:dyDescent="0.3"/>
    <row r="355" s="11" customFormat="1" x14ac:dyDescent="0.3"/>
    <row r="356" s="11" customFormat="1" x14ac:dyDescent="0.3"/>
    <row r="357" s="11" customFormat="1" x14ac:dyDescent="0.3"/>
    <row r="358" s="11" customFormat="1" x14ac:dyDescent="0.3"/>
    <row r="359" s="11" customFormat="1" x14ac:dyDescent="0.3"/>
    <row r="360" s="11" customFormat="1" x14ac:dyDescent="0.3"/>
    <row r="361" s="11" customFormat="1" x14ac:dyDescent="0.3"/>
    <row r="362" s="11" customFormat="1" x14ac:dyDescent="0.3"/>
    <row r="363" s="11" customFormat="1" x14ac:dyDescent="0.3"/>
    <row r="364" s="11" customFormat="1" x14ac:dyDescent="0.3"/>
    <row r="365" s="11" customFormat="1" x14ac:dyDescent="0.3"/>
    <row r="366" s="11" customFormat="1" x14ac:dyDescent="0.3"/>
    <row r="367" s="11" customFormat="1" x14ac:dyDescent="0.3"/>
    <row r="368" s="11" customFormat="1" x14ac:dyDescent="0.3"/>
    <row r="369" s="11" customFormat="1" x14ac:dyDescent="0.3"/>
    <row r="370" s="11" customFormat="1" x14ac:dyDescent="0.3"/>
    <row r="371" s="11" customFormat="1" x14ac:dyDescent="0.3"/>
    <row r="372" s="11" customFormat="1" x14ac:dyDescent="0.3"/>
    <row r="373" s="11" customFormat="1" x14ac:dyDescent="0.3"/>
    <row r="374" s="11" customFormat="1" x14ac:dyDescent="0.3"/>
    <row r="375" s="11" customFormat="1" x14ac:dyDescent="0.3"/>
    <row r="376" s="11" customFormat="1" x14ac:dyDescent="0.3"/>
    <row r="377" s="11" customFormat="1" x14ac:dyDescent="0.3"/>
    <row r="378" s="11" customFormat="1" x14ac:dyDescent="0.3"/>
    <row r="379" s="11" customFormat="1" x14ac:dyDescent="0.3"/>
    <row r="380" s="11" customFormat="1" x14ac:dyDescent="0.3"/>
    <row r="381" s="11" customFormat="1" x14ac:dyDescent="0.3"/>
    <row r="382" s="11" customFormat="1" x14ac:dyDescent="0.3"/>
    <row r="383" s="11" customFormat="1" x14ac:dyDescent="0.3"/>
    <row r="384" s="11" customFormat="1" x14ac:dyDescent="0.3"/>
    <row r="385" s="11" customFormat="1" x14ac:dyDescent="0.3"/>
    <row r="386" s="11" customFormat="1" x14ac:dyDescent="0.3"/>
    <row r="387" s="11" customFormat="1" x14ac:dyDescent="0.3"/>
    <row r="388" s="11" customFormat="1" x14ac:dyDescent="0.3"/>
    <row r="389" s="11" customFormat="1" x14ac:dyDescent="0.3"/>
    <row r="390" s="11" customFormat="1" x14ac:dyDescent="0.3"/>
    <row r="391" s="11" customFormat="1" x14ac:dyDescent="0.3"/>
    <row r="392" s="11" customFormat="1" x14ac:dyDescent="0.3"/>
    <row r="393" s="11" customFormat="1" x14ac:dyDescent="0.3"/>
    <row r="394" s="11" customFormat="1" x14ac:dyDescent="0.3"/>
    <row r="395" s="11" customFormat="1" x14ac:dyDescent="0.3"/>
    <row r="396" s="11" customFormat="1" x14ac:dyDescent="0.3"/>
    <row r="397" s="11" customFormat="1" x14ac:dyDescent="0.3"/>
    <row r="398" s="11" customFormat="1" x14ac:dyDescent="0.3"/>
    <row r="399" s="11" customFormat="1" x14ac:dyDescent="0.3"/>
    <row r="400" s="11" customFormat="1" x14ac:dyDescent="0.3"/>
    <row r="401" s="11" customFormat="1" x14ac:dyDescent="0.3"/>
    <row r="402" s="11" customFormat="1" x14ac:dyDescent="0.3"/>
    <row r="403" s="11" customFormat="1" x14ac:dyDescent="0.3"/>
    <row r="404" s="11" customFormat="1" x14ac:dyDescent="0.3"/>
    <row r="405" s="11" customFormat="1" x14ac:dyDescent="0.3"/>
    <row r="406" s="11" customFormat="1" x14ac:dyDescent="0.3"/>
    <row r="407" s="11" customFormat="1" x14ac:dyDescent="0.3"/>
    <row r="408" s="11" customFormat="1" x14ac:dyDescent="0.3"/>
    <row r="409" s="11" customFormat="1" x14ac:dyDescent="0.3"/>
    <row r="410" s="11" customFormat="1" x14ac:dyDescent="0.3"/>
    <row r="411" s="11" customFormat="1" x14ac:dyDescent="0.3"/>
    <row r="412" s="11" customFormat="1" x14ac:dyDescent="0.3"/>
    <row r="413" s="11" customFormat="1" x14ac:dyDescent="0.3"/>
    <row r="414" s="11" customFormat="1" x14ac:dyDescent="0.3"/>
    <row r="415" s="11" customFormat="1" x14ac:dyDescent="0.3"/>
    <row r="416" s="11" customFormat="1" x14ac:dyDescent="0.3"/>
    <row r="417" s="11" customFormat="1" x14ac:dyDescent="0.3"/>
    <row r="418" s="11" customFormat="1" x14ac:dyDescent="0.3"/>
    <row r="419" s="11" customFormat="1" x14ac:dyDescent="0.3"/>
    <row r="420" s="11" customFormat="1" x14ac:dyDescent="0.3"/>
    <row r="421" s="11" customFormat="1" x14ac:dyDescent="0.3"/>
    <row r="422" s="11" customFormat="1" x14ac:dyDescent="0.3"/>
    <row r="423" s="11" customFormat="1" x14ac:dyDescent="0.3"/>
    <row r="424" s="11" customFormat="1" x14ac:dyDescent="0.3"/>
    <row r="425" s="11" customFormat="1" x14ac:dyDescent="0.3"/>
    <row r="426" s="11" customFormat="1" x14ac:dyDescent="0.3"/>
    <row r="427" s="11" customFormat="1" x14ac:dyDescent="0.3"/>
    <row r="428" s="11" customFormat="1" x14ac:dyDescent="0.3"/>
    <row r="429" s="11" customFormat="1" x14ac:dyDescent="0.3"/>
    <row r="430" s="11" customFormat="1" x14ac:dyDescent="0.3"/>
    <row r="431" s="11" customFormat="1" x14ac:dyDescent="0.3"/>
    <row r="432" s="11" customFormat="1" x14ac:dyDescent="0.3"/>
    <row r="433" s="11" customFormat="1" x14ac:dyDescent="0.3"/>
    <row r="434" s="11" customFormat="1" x14ac:dyDescent="0.3"/>
    <row r="435" s="11" customFormat="1" x14ac:dyDescent="0.3"/>
    <row r="436" s="11" customFormat="1" x14ac:dyDescent="0.3"/>
    <row r="437" s="11" customFormat="1" x14ac:dyDescent="0.3"/>
    <row r="438" s="11" customFormat="1" x14ac:dyDescent="0.3"/>
    <row r="439" s="11" customFormat="1" x14ac:dyDescent="0.3"/>
    <row r="440" s="11" customFormat="1" x14ac:dyDescent="0.3"/>
    <row r="441" s="11" customFormat="1" x14ac:dyDescent="0.3"/>
    <row r="442" s="11" customFormat="1" x14ac:dyDescent="0.3"/>
    <row r="443" s="11" customFormat="1" x14ac:dyDescent="0.3"/>
    <row r="444" s="11" customFormat="1" x14ac:dyDescent="0.3"/>
    <row r="445" s="11" customFormat="1" x14ac:dyDescent="0.3"/>
    <row r="446" s="11" customFormat="1" x14ac:dyDescent="0.3"/>
    <row r="447" s="11" customFormat="1" x14ac:dyDescent="0.3"/>
    <row r="448" s="11" customFormat="1" x14ac:dyDescent="0.3"/>
    <row r="449" s="11" customFormat="1" x14ac:dyDescent="0.3"/>
    <row r="450" s="11" customFormat="1" x14ac:dyDescent="0.3"/>
    <row r="451" s="11" customFormat="1" x14ac:dyDescent="0.3"/>
    <row r="452" s="11" customFormat="1" x14ac:dyDescent="0.3"/>
    <row r="453" s="11" customFormat="1" x14ac:dyDescent="0.3"/>
    <row r="454" s="11" customFormat="1" x14ac:dyDescent="0.3"/>
    <row r="455" s="11" customFormat="1" x14ac:dyDescent="0.3"/>
    <row r="456" s="11" customFormat="1" x14ac:dyDescent="0.3"/>
    <row r="457" s="11" customFormat="1" x14ac:dyDescent="0.3"/>
    <row r="458" s="11" customFormat="1" x14ac:dyDescent="0.3"/>
    <row r="459" s="11" customFormat="1" x14ac:dyDescent="0.3"/>
    <row r="460" s="11" customFormat="1" x14ac:dyDescent="0.3"/>
    <row r="461" s="11" customFormat="1" x14ac:dyDescent="0.3"/>
    <row r="462" s="11" customFormat="1" x14ac:dyDescent="0.3"/>
    <row r="463" s="11" customFormat="1" x14ac:dyDescent="0.3"/>
    <row r="464" s="11" customFormat="1" x14ac:dyDescent="0.3"/>
    <row r="465" s="11" customFormat="1" x14ac:dyDescent="0.3"/>
    <row r="466" s="11" customFormat="1" x14ac:dyDescent="0.3"/>
    <row r="467" s="11" customFormat="1" x14ac:dyDescent="0.3"/>
    <row r="468" s="11" customFormat="1" x14ac:dyDescent="0.3"/>
    <row r="469" s="11" customFormat="1" x14ac:dyDescent="0.3"/>
    <row r="470" s="11" customFormat="1" x14ac:dyDescent="0.3"/>
    <row r="471" s="11" customFormat="1" x14ac:dyDescent="0.3"/>
    <row r="472" s="11" customFormat="1" x14ac:dyDescent="0.3"/>
    <row r="473" s="11" customFormat="1" x14ac:dyDescent="0.3"/>
    <row r="474" s="11" customFormat="1" x14ac:dyDescent="0.3"/>
    <row r="475" s="11" customFormat="1" x14ac:dyDescent="0.3"/>
    <row r="476" s="11" customFormat="1" x14ac:dyDescent="0.3"/>
    <row r="477" s="11" customFormat="1" x14ac:dyDescent="0.3"/>
    <row r="478" s="11" customFormat="1" x14ac:dyDescent="0.3"/>
    <row r="479" s="11" customFormat="1" x14ac:dyDescent="0.3"/>
    <row r="480" s="11" customFormat="1" x14ac:dyDescent="0.3"/>
    <row r="481" s="11" customFormat="1" x14ac:dyDescent="0.3"/>
    <row r="482" s="11" customFormat="1" x14ac:dyDescent="0.3"/>
    <row r="483" s="11" customFormat="1" x14ac:dyDescent="0.3"/>
    <row r="484" s="11" customFormat="1" x14ac:dyDescent="0.3"/>
    <row r="485" s="11" customFormat="1" x14ac:dyDescent="0.3"/>
    <row r="486" s="11" customFormat="1" x14ac:dyDescent="0.3"/>
    <row r="487" s="11" customFormat="1" x14ac:dyDescent="0.3"/>
    <row r="488" s="11" customFormat="1" x14ac:dyDescent="0.3"/>
    <row r="489" s="11" customFormat="1" x14ac:dyDescent="0.3"/>
    <row r="490" s="11" customFormat="1" x14ac:dyDescent="0.3"/>
    <row r="491" s="11" customFormat="1" x14ac:dyDescent="0.3"/>
    <row r="492" s="11" customFormat="1" x14ac:dyDescent="0.3"/>
    <row r="493" s="11" customFormat="1" x14ac:dyDescent="0.3"/>
    <row r="494" s="11" customFormat="1" x14ac:dyDescent="0.3"/>
    <row r="495" s="11" customFormat="1" x14ac:dyDescent="0.3"/>
    <row r="496" s="11" customFormat="1" x14ac:dyDescent="0.3"/>
    <row r="497" s="11" customFormat="1" x14ac:dyDescent="0.3"/>
    <row r="498" s="11" customFormat="1" x14ac:dyDescent="0.3"/>
    <row r="499" s="11" customFormat="1" x14ac:dyDescent="0.3"/>
    <row r="500" s="11" customFormat="1" x14ac:dyDescent="0.3"/>
    <row r="501" s="11" customFormat="1" x14ac:dyDescent="0.3"/>
    <row r="502" s="11" customFormat="1" x14ac:dyDescent="0.3"/>
    <row r="503" s="11" customFormat="1" x14ac:dyDescent="0.3"/>
    <row r="504" s="11" customFormat="1" x14ac:dyDescent="0.3"/>
    <row r="505" s="11" customFormat="1" x14ac:dyDescent="0.3"/>
    <row r="506" s="11" customFormat="1" x14ac:dyDescent="0.3"/>
    <row r="507" s="11" customFormat="1" x14ac:dyDescent="0.3"/>
    <row r="508" s="11" customFormat="1" x14ac:dyDescent="0.3"/>
    <row r="509" s="11" customFormat="1" x14ac:dyDescent="0.3"/>
    <row r="510" s="11" customFormat="1" x14ac:dyDescent="0.3"/>
    <row r="511" s="11" customFormat="1" x14ac:dyDescent="0.3"/>
    <row r="512" s="11" customFormat="1" x14ac:dyDescent="0.3"/>
    <row r="513" s="11" customFormat="1" x14ac:dyDescent="0.3"/>
    <row r="514" s="11" customFormat="1" x14ac:dyDescent="0.3"/>
    <row r="515" s="11" customFormat="1" x14ac:dyDescent="0.3"/>
    <row r="516" s="11" customFormat="1" x14ac:dyDescent="0.3"/>
    <row r="517" s="11" customFormat="1" x14ac:dyDescent="0.3"/>
    <row r="518" s="11" customFormat="1" x14ac:dyDescent="0.3"/>
    <row r="519" s="11" customFormat="1" x14ac:dyDescent="0.3"/>
    <row r="520" s="11" customFormat="1" x14ac:dyDescent="0.3"/>
    <row r="521" s="11" customFormat="1" x14ac:dyDescent="0.3"/>
    <row r="522" s="11" customFormat="1" x14ac:dyDescent="0.3"/>
    <row r="523" s="11" customFormat="1" x14ac:dyDescent="0.3"/>
    <row r="524" s="11" customFormat="1" x14ac:dyDescent="0.3"/>
    <row r="525" s="11" customFormat="1" x14ac:dyDescent="0.3"/>
    <row r="526" s="11" customFormat="1" x14ac:dyDescent="0.3"/>
    <row r="527" s="11" customFormat="1" x14ac:dyDescent="0.3"/>
    <row r="528" s="11" customFormat="1" x14ac:dyDescent="0.3"/>
    <row r="529" s="11" customFormat="1" x14ac:dyDescent="0.3"/>
    <row r="530" s="11" customFormat="1" x14ac:dyDescent="0.3"/>
    <row r="531" s="11" customFormat="1" x14ac:dyDescent="0.3"/>
    <row r="532" s="11" customFormat="1" x14ac:dyDescent="0.3"/>
    <row r="533" s="11" customFormat="1" x14ac:dyDescent="0.3"/>
    <row r="534" s="11" customFormat="1" x14ac:dyDescent="0.3"/>
    <row r="535" s="11" customFormat="1" x14ac:dyDescent="0.3"/>
    <row r="536" s="11" customFormat="1" x14ac:dyDescent="0.3"/>
    <row r="537" s="11" customFormat="1" x14ac:dyDescent="0.3"/>
    <row r="538" s="11" customFormat="1" x14ac:dyDescent="0.3"/>
    <row r="539" s="11" customFormat="1" x14ac:dyDescent="0.3"/>
    <row r="540" s="11" customFormat="1" x14ac:dyDescent="0.3"/>
    <row r="541" s="11" customFormat="1" x14ac:dyDescent="0.3"/>
    <row r="542" s="11" customFormat="1" x14ac:dyDescent="0.3"/>
    <row r="543" s="11" customFormat="1" x14ac:dyDescent="0.3"/>
    <row r="544" s="11" customFormat="1" x14ac:dyDescent="0.3"/>
    <row r="545" s="11" customFormat="1" x14ac:dyDescent="0.3"/>
    <row r="546" s="11" customFormat="1" x14ac:dyDescent="0.3"/>
    <row r="547" s="11" customFormat="1" x14ac:dyDescent="0.3"/>
    <row r="548" s="11" customFormat="1" x14ac:dyDescent="0.3"/>
    <row r="549" s="11" customFormat="1" x14ac:dyDescent="0.3"/>
    <row r="550" s="11" customFormat="1" x14ac:dyDescent="0.3"/>
    <row r="551" s="11" customFormat="1" x14ac:dyDescent="0.3"/>
    <row r="552" s="11" customFormat="1" x14ac:dyDescent="0.3"/>
    <row r="553" s="11" customFormat="1" x14ac:dyDescent="0.3"/>
    <row r="554" s="11" customFormat="1" x14ac:dyDescent="0.3"/>
    <row r="555" s="11" customFormat="1" x14ac:dyDescent="0.3"/>
    <row r="556" s="11" customFormat="1" x14ac:dyDescent="0.3"/>
    <row r="557" s="11" customFormat="1" x14ac:dyDescent="0.3"/>
    <row r="558" s="11" customFormat="1" x14ac:dyDescent="0.3"/>
    <row r="559" s="11" customFormat="1" x14ac:dyDescent="0.3"/>
    <row r="560" s="11" customFormat="1" x14ac:dyDescent="0.3"/>
    <row r="561" s="11" customFormat="1" x14ac:dyDescent="0.3"/>
    <row r="562" s="11" customFormat="1" x14ac:dyDescent="0.3"/>
    <row r="563" s="11" customFormat="1" x14ac:dyDescent="0.3"/>
    <row r="564" s="11" customFormat="1" x14ac:dyDescent="0.3"/>
    <row r="565" s="11" customFormat="1" x14ac:dyDescent="0.3"/>
    <row r="566" s="11" customFormat="1" x14ac:dyDescent="0.3"/>
    <row r="567" s="11" customFormat="1" x14ac:dyDescent="0.3"/>
    <row r="568" s="11" customFormat="1" x14ac:dyDescent="0.3"/>
    <row r="569" s="11" customFormat="1" x14ac:dyDescent="0.3"/>
    <row r="570" s="11" customFormat="1" x14ac:dyDescent="0.3"/>
    <row r="571" s="11" customFormat="1" x14ac:dyDescent="0.3"/>
    <row r="572" s="11" customFormat="1" x14ac:dyDescent="0.3"/>
    <row r="573" s="11" customFormat="1" x14ac:dyDescent="0.3"/>
    <row r="574" s="11" customFormat="1" x14ac:dyDescent="0.3"/>
    <row r="575" s="11" customFormat="1" x14ac:dyDescent="0.3"/>
    <row r="576" s="11" customFormat="1" x14ac:dyDescent="0.3"/>
    <row r="577" s="11" customFormat="1" x14ac:dyDescent="0.3"/>
    <row r="578" s="11" customFormat="1" x14ac:dyDescent="0.3"/>
    <row r="579" s="11" customFormat="1" x14ac:dyDescent="0.3"/>
    <row r="580" s="11" customFormat="1" x14ac:dyDescent="0.3"/>
    <row r="581" s="11" customFormat="1" x14ac:dyDescent="0.3"/>
    <row r="582" s="11" customFormat="1" x14ac:dyDescent="0.3"/>
    <row r="583" s="11" customFormat="1" x14ac:dyDescent="0.3"/>
    <row r="584" s="11" customFormat="1" x14ac:dyDescent="0.3"/>
    <row r="585" s="11" customFormat="1" x14ac:dyDescent="0.3"/>
    <row r="586" s="11" customFormat="1" x14ac:dyDescent="0.3"/>
    <row r="587" s="11" customFormat="1" x14ac:dyDescent="0.3"/>
    <row r="588" s="11" customFormat="1" x14ac:dyDescent="0.3"/>
    <row r="589" s="11" customFormat="1" x14ac:dyDescent="0.3"/>
    <row r="590" s="11" customFormat="1" x14ac:dyDescent="0.3"/>
    <row r="591" s="11" customFormat="1" x14ac:dyDescent="0.3"/>
    <row r="592" s="11" customFormat="1" x14ac:dyDescent="0.3"/>
    <row r="593" s="11" customFormat="1" x14ac:dyDescent="0.3"/>
    <row r="594" s="11" customFormat="1" x14ac:dyDescent="0.3"/>
    <row r="595" s="11" customFormat="1" x14ac:dyDescent="0.3"/>
    <row r="596" s="11" customFormat="1" x14ac:dyDescent="0.3"/>
    <row r="597" s="11" customFormat="1" x14ac:dyDescent="0.3"/>
    <row r="598" s="11" customFormat="1" x14ac:dyDescent="0.3"/>
    <row r="599" s="11" customFormat="1" x14ac:dyDescent="0.3"/>
    <row r="600" s="11" customFormat="1" x14ac:dyDescent="0.3"/>
    <row r="601" s="11" customFormat="1" x14ac:dyDescent="0.3"/>
    <row r="602" s="11" customFormat="1" x14ac:dyDescent="0.3"/>
    <row r="603" s="11" customFormat="1" x14ac:dyDescent="0.3"/>
    <row r="604" s="11" customFormat="1" x14ac:dyDescent="0.3"/>
    <row r="605" s="11" customFormat="1" x14ac:dyDescent="0.3"/>
    <row r="606" s="11" customFormat="1" x14ac:dyDescent="0.3"/>
    <row r="607" s="11" customFormat="1" x14ac:dyDescent="0.3"/>
    <row r="608" s="11" customFormat="1" x14ac:dyDescent="0.3"/>
    <row r="609" s="11" customFormat="1" x14ac:dyDescent="0.3"/>
    <row r="610" s="11" customFormat="1" x14ac:dyDescent="0.3"/>
    <row r="611" s="11" customFormat="1" x14ac:dyDescent="0.3"/>
    <row r="612" s="11" customFormat="1" x14ac:dyDescent="0.3"/>
    <row r="613" s="11" customFormat="1" x14ac:dyDescent="0.3"/>
    <row r="614" s="11" customFormat="1" x14ac:dyDescent="0.3"/>
    <row r="615" s="11" customFormat="1" x14ac:dyDescent="0.3"/>
    <row r="616" s="11" customFormat="1" x14ac:dyDescent="0.3"/>
    <row r="617" s="11" customFormat="1" x14ac:dyDescent="0.3"/>
    <row r="618" s="11" customFormat="1" x14ac:dyDescent="0.3"/>
    <row r="619" s="11" customFormat="1" x14ac:dyDescent="0.3"/>
    <row r="620" s="11" customFormat="1" x14ac:dyDescent="0.3"/>
    <row r="621" s="11" customFormat="1" x14ac:dyDescent="0.3"/>
    <row r="622" s="11" customFormat="1" x14ac:dyDescent="0.3"/>
    <row r="623" s="11" customFormat="1" x14ac:dyDescent="0.3"/>
    <row r="624" s="11" customFormat="1" x14ac:dyDescent="0.3"/>
    <row r="625" s="11" customFormat="1" x14ac:dyDescent="0.3"/>
    <row r="626" s="11" customFormat="1" x14ac:dyDescent="0.3"/>
    <row r="627" s="11" customFormat="1" x14ac:dyDescent="0.3"/>
    <row r="628" s="11" customFormat="1" x14ac:dyDescent="0.3"/>
    <row r="629" s="11" customFormat="1" x14ac:dyDescent="0.3"/>
    <row r="630" s="11" customFormat="1" x14ac:dyDescent="0.3"/>
    <row r="631" s="11" customFormat="1" x14ac:dyDescent="0.3"/>
    <row r="632" s="11" customFormat="1" x14ac:dyDescent="0.3"/>
    <row r="633" s="11" customFormat="1" x14ac:dyDescent="0.3"/>
    <row r="634" s="11" customFormat="1" x14ac:dyDescent="0.3"/>
    <row r="635" s="11" customFormat="1" x14ac:dyDescent="0.3"/>
    <row r="636" s="11" customFormat="1" x14ac:dyDescent="0.3"/>
    <row r="637" s="11" customFormat="1" x14ac:dyDescent="0.3"/>
    <row r="638" s="11" customFormat="1" x14ac:dyDescent="0.3"/>
    <row r="639" s="11" customFormat="1" x14ac:dyDescent="0.3"/>
    <row r="640" s="11" customFormat="1" x14ac:dyDescent="0.3"/>
    <row r="641" s="11" customFormat="1" x14ac:dyDescent="0.3"/>
    <row r="642" s="11" customFormat="1" x14ac:dyDescent="0.3"/>
    <row r="643" s="11" customFormat="1" x14ac:dyDescent="0.3"/>
    <row r="644" s="11" customFormat="1" x14ac:dyDescent="0.3"/>
    <row r="645" s="11" customFormat="1" x14ac:dyDescent="0.3"/>
    <row r="646" s="11" customFormat="1" x14ac:dyDescent="0.3"/>
    <row r="647" s="11" customFormat="1" x14ac:dyDescent="0.3"/>
    <row r="648" s="11" customFormat="1" x14ac:dyDescent="0.3"/>
    <row r="649" s="11" customFormat="1" x14ac:dyDescent="0.3"/>
    <row r="650" s="11" customFormat="1" x14ac:dyDescent="0.3"/>
    <row r="651" s="11" customFormat="1" x14ac:dyDescent="0.3"/>
    <row r="652" s="11" customFormat="1" x14ac:dyDescent="0.3"/>
    <row r="653" s="11" customFormat="1" x14ac:dyDescent="0.3"/>
    <row r="654" s="11" customFormat="1" x14ac:dyDescent="0.3"/>
    <row r="655" s="11" customFormat="1" x14ac:dyDescent="0.3"/>
    <row r="656" s="11" customFormat="1" x14ac:dyDescent="0.3"/>
    <row r="657" s="11" customFormat="1" x14ac:dyDescent="0.3"/>
    <row r="658" s="11" customFormat="1" x14ac:dyDescent="0.3"/>
    <row r="659" s="11" customFormat="1" x14ac:dyDescent="0.3"/>
    <row r="660" s="11" customFormat="1" x14ac:dyDescent="0.3"/>
    <row r="661" s="11" customFormat="1" x14ac:dyDescent="0.3"/>
    <row r="662" s="11" customFormat="1" x14ac:dyDescent="0.3"/>
    <row r="663" s="11" customFormat="1" x14ac:dyDescent="0.3"/>
    <row r="664" s="11" customFormat="1" x14ac:dyDescent="0.3"/>
    <row r="665" s="11" customFormat="1" x14ac:dyDescent="0.3"/>
    <row r="666" s="11" customFormat="1" x14ac:dyDescent="0.3"/>
    <row r="667" s="11" customFormat="1" x14ac:dyDescent="0.3"/>
    <row r="668" s="11" customFormat="1" x14ac:dyDescent="0.3"/>
    <row r="669" s="11" customFormat="1" x14ac:dyDescent="0.3"/>
    <row r="670" s="11" customFormat="1" x14ac:dyDescent="0.3"/>
    <row r="671" s="11" customFormat="1" x14ac:dyDescent="0.3"/>
    <row r="672" s="11" customFormat="1" x14ac:dyDescent="0.3"/>
    <row r="673" s="11" customFormat="1" x14ac:dyDescent="0.3"/>
    <row r="674" s="11" customFormat="1" x14ac:dyDescent="0.3"/>
    <row r="675" s="11" customFormat="1" x14ac:dyDescent="0.3"/>
    <row r="676" s="11" customFormat="1" x14ac:dyDescent="0.3"/>
    <row r="677" s="11" customFormat="1" x14ac:dyDescent="0.3"/>
    <row r="678" s="11" customFormat="1" x14ac:dyDescent="0.3"/>
    <row r="679" s="11" customFormat="1" x14ac:dyDescent="0.3"/>
    <row r="680" s="11" customFormat="1" x14ac:dyDescent="0.3"/>
    <row r="681" s="11" customFormat="1" x14ac:dyDescent="0.3"/>
    <row r="682" s="11" customFormat="1" x14ac:dyDescent="0.3"/>
    <row r="683" s="11" customFormat="1" x14ac:dyDescent="0.3"/>
    <row r="684" s="11" customFormat="1" x14ac:dyDescent="0.3"/>
    <row r="685" s="11" customFormat="1" x14ac:dyDescent="0.3"/>
    <row r="686" s="11" customFormat="1" x14ac:dyDescent="0.3"/>
    <row r="687" s="11" customFormat="1" x14ac:dyDescent="0.3"/>
    <row r="688" s="11" customFormat="1" x14ac:dyDescent="0.3"/>
    <row r="689" s="11" customFormat="1" x14ac:dyDescent="0.3"/>
    <row r="690" s="11" customFormat="1" x14ac:dyDescent="0.3"/>
    <row r="691" s="11" customFormat="1" x14ac:dyDescent="0.3"/>
    <row r="692" s="11" customFormat="1" x14ac:dyDescent="0.3"/>
    <row r="693" s="11" customFormat="1" x14ac:dyDescent="0.3"/>
    <row r="694" s="11" customFormat="1" x14ac:dyDescent="0.3"/>
    <row r="695" s="11" customFormat="1" x14ac:dyDescent="0.3"/>
    <row r="696" s="11" customFormat="1" x14ac:dyDescent="0.3"/>
    <row r="697" s="11" customFormat="1" x14ac:dyDescent="0.3"/>
    <row r="698" s="11" customFormat="1" x14ac:dyDescent="0.3"/>
    <row r="699" s="11" customFormat="1" x14ac:dyDescent="0.3"/>
    <row r="700" s="11" customFormat="1" x14ac:dyDescent="0.3"/>
    <row r="701" s="11" customFormat="1" x14ac:dyDescent="0.3"/>
    <row r="702" s="11" customFormat="1" x14ac:dyDescent="0.3"/>
    <row r="703" s="11" customFormat="1" x14ac:dyDescent="0.3"/>
    <row r="704" s="11" customFormat="1" x14ac:dyDescent="0.3"/>
    <row r="705" s="11" customFormat="1" x14ac:dyDescent="0.3"/>
    <row r="706" s="11" customFormat="1" x14ac:dyDescent="0.3"/>
    <row r="707" s="11" customFormat="1" x14ac:dyDescent="0.3"/>
    <row r="708" s="11" customFormat="1" x14ac:dyDescent="0.3"/>
    <row r="709" s="11" customFormat="1" x14ac:dyDescent="0.3"/>
    <row r="710" s="11" customFormat="1" x14ac:dyDescent="0.3"/>
    <row r="711" s="11" customFormat="1" x14ac:dyDescent="0.3"/>
    <row r="712" s="11" customFormat="1" x14ac:dyDescent="0.3"/>
    <row r="713" s="11" customFormat="1" x14ac:dyDescent="0.3"/>
    <row r="714" s="11" customFormat="1" x14ac:dyDescent="0.3"/>
    <row r="715" s="11" customFormat="1" x14ac:dyDescent="0.3"/>
    <row r="716" s="11" customFormat="1" x14ac:dyDescent="0.3"/>
    <row r="717" s="11" customFormat="1" x14ac:dyDescent="0.3"/>
    <row r="718" s="11" customFormat="1" x14ac:dyDescent="0.3"/>
    <row r="719" s="11" customFormat="1" x14ac:dyDescent="0.3"/>
    <row r="720" s="11" customFormat="1" x14ac:dyDescent="0.3"/>
    <row r="721" s="11" customFormat="1" x14ac:dyDescent="0.3"/>
    <row r="722" s="11" customFormat="1" x14ac:dyDescent="0.3"/>
    <row r="723" s="11" customFormat="1" x14ac:dyDescent="0.3"/>
    <row r="724" s="11" customFormat="1" x14ac:dyDescent="0.3"/>
    <row r="725" s="11" customFormat="1" x14ac:dyDescent="0.3"/>
    <row r="726" s="11" customFormat="1" x14ac:dyDescent="0.3"/>
    <row r="727" s="11" customFormat="1" x14ac:dyDescent="0.3"/>
    <row r="728" s="11" customFormat="1" x14ac:dyDescent="0.3"/>
    <row r="729" s="11" customFormat="1" x14ac:dyDescent="0.3"/>
    <row r="730" s="11" customFormat="1" x14ac:dyDescent="0.3"/>
    <row r="731" s="11" customFormat="1" x14ac:dyDescent="0.3"/>
    <row r="732" s="11" customFormat="1" x14ac:dyDescent="0.3"/>
    <row r="733" s="11" customFormat="1" x14ac:dyDescent="0.3"/>
    <row r="734" s="11" customFormat="1" x14ac:dyDescent="0.3"/>
    <row r="735" s="11" customFormat="1" x14ac:dyDescent="0.3"/>
    <row r="736" s="11" customFormat="1" x14ac:dyDescent="0.3"/>
    <row r="737" s="11" customFormat="1" x14ac:dyDescent="0.3"/>
    <row r="738" s="11" customFormat="1" x14ac:dyDescent="0.3"/>
    <row r="739" s="11" customFormat="1" x14ac:dyDescent="0.3"/>
    <row r="740" s="11" customFormat="1" x14ac:dyDescent="0.3"/>
    <row r="741" s="11" customFormat="1" x14ac:dyDescent="0.3"/>
    <row r="742" s="11" customFormat="1" x14ac:dyDescent="0.3"/>
    <row r="743" s="11" customFormat="1" x14ac:dyDescent="0.3"/>
    <row r="744" s="11" customFormat="1" x14ac:dyDescent="0.3"/>
    <row r="745" s="11" customFormat="1" x14ac:dyDescent="0.3"/>
    <row r="746" s="11" customFormat="1" x14ac:dyDescent="0.3"/>
    <row r="747" s="11" customFormat="1" x14ac:dyDescent="0.3"/>
    <row r="748" s="11" customFormat="1" x14ac:dyDescent="0.3"/>
    <row r="749" s="11" customFormat="1" x14ac:dyDescent="0.3"/>
    <row r="750" s="11" customFormat="1" x14ac:dyDescent="0.3"/>
    <row r="751" s="11" customFormat="1" x14ac:dyDescent="0.3"/>
    <row r="752" s="11" customFormat="1" x14ac:dyDescent="0.3"/>
    <row r="753" s="11" customFormat="1" x14ac:dyDescent="0.3"/>
    <row r="754" s="11" customFormat="1" x14ac:dyDescent="0.3"/>
    <row r="755" s="11" customFormat="1" x14ac:dyDescent="0.3"/>
    <row r="756" s="11" customFormat="1" x14ac:dyDescent="0.3"/>
    <row r="757" s="11" customFormat="1" x14ac:dyDescent="0.3"/>
    <row r="758" s="11" customFormat="1" x14ac:dyDescent="0.3"/>
    <row r="759" s="11" customFormat="1" x14ac:dyDescent="0.3"/>
    <row r="760" s="11" customFormat="1" x14ac:dyDescent="0.3"/>
    <row r="761" s="11" customFormat="1" x14ac:dyDescent="0.3"/>
    <row r="762" s="11" customFormat="1" x14ac:dyDescent="0.3"/>
    <row r="763" s="11" customFormat="1" x14ac:dyDescent="0.3"/>
    <row r="764" s="11" customFormat="1" x14ac:dyDescent="0.3"/>
    <row r="765" s="11" customFormat="1" x14ac:dyDescent="0.3"/>
    <row r="766" s="11" customFormat="1" x14ac:dyDescent="0.3"/>
    <row r="767" s="11" customFormat="1" x14ac:dyDescent="0.3"/>
    <row r="768" s="11" customFormat="1" x14ac:dyDescent="0.3"/>
    <row r="769" s="11" customFormat="1" x14ac:dyDescent="0.3"/>
    <row r="770" s="11" customFormat="1" x14ac:dyDescent="0.3"/>
    <row r="771" s="11" customFormat="1" x14ac:dyDescent="0.3"/>
    <row r="772" s="11" customFormat="1" x14ac:dyDescent="0.3"/>
    <row r="773" s="11" customFormat="1" x14ac:dyDescent="0.3"/>
    <row r="774" s="11" customFormat="1" x14ac:dyDescent="0.3"/>
    <row r="775" s="11" customFormat="1" x14ac:dyDescent="0.3"/>
    <row r="776" s="11" customFormat="1" x14ac:dyDescent="0.3"/>
    <row r="777" s="11" customFormat="1" x14ac:dyDescent="0.3"/>
    <row r="778" s="11" customFormat="1" x14ac:dyDescent="0.3"/>
    <row r="779" s="11" customFormat="1" x14ac:dyDescent="0.3"/>
    <row r="780" s="11" customFormat="1" x14ac:dyDescent="0.3"/>
    <row r="781" s="11" customFormat="1" x14ac:dyDescent="0.3"/>
    <row r="782" s="11" customFormat="1" x14ac:dyDescent="0.3"/>
    <row r="783" s="11" customFormat="1" x14ac:dyDescent="0.3"/>
    <row r="784" s="11" customFormat="1" x14ac:dyDescent="0.3"/>
    <row r="785" s="11" customFormat="1" x14ac:dyDescent="0.3"/>
    <row r="786" s="11" customFormat="1" x14ac:dyDescent="0.3"/>
    <row r="787" s="11" customFormat="1" x14ac:dyDescent="0.3"/>
    <row r="788" s="11" customFormat="1" x14ac:dyDescent="0.3"/>
    <row r="789" s="11" customFormat="1" x14ac:dyDescent="0.3"/>
    <row r="790" s="11" customFormat="1" x14ac:dyDescent="0.3"/>
    <row r="791" s="11" customFormat="1" x14ac:dyDescent="0.3"/>
    <row r="792" s="11" customFormat="1" x14ac:dyDescent="0.3"/>
    <row r="793" s="11" customFormat="1" x14ac:dyDescent="0.3"/>
    <row r="794" s="11" customFormat="1" x14ac:dyDescent="0.3"/>
    <row r="795" s="11" customFormat="1" x14ac:dyDescent="0.3"/>
    <row r="796" s="11" customFormat="1" x14ac:dyDescent="0.3"/>
    <row r="797" s="11" customFormat="1" x14ac:dyDescent="0.3"/>
    <row r="798" s="11" customFormat="1" x14ac:dyDescent="0.3"/>
    <row r="799" s="11" customFormat="1" x14ac:dyDescent="0.3"/>
    <row r="800" s="11" customFormat="1" x14ac:dyDescent="0.3"/>
    <row r="801" s="11" customFormat="1" x14ac:dyDescent="0.3"/>
    <row r="802" s="11" customFormat="1" x14ac:dyDescent="0.3"/>
    <row r="803" s="11" customFormat="1" x14ac:dyDescent="0.3"/>
    <row r="804" s="11" customFormat="1" x14ac:dyDescent="0.3"/>
    <row r="805" s="11" customFormat="1" x14ac:dyDescent="0.3"/>
    <row r="806" s="11" customFormat="1" x14ac:dyDescent="0.3"/>
    <row r="807" s="11" customFormat="1" x14ac:dyDescent="0.3"/>
    <row r="808" s="11" customFormat="1" x14ac:dyDescent="0.3"/>
    <row r="809" s="11" customFormat="1" x14ac:dyDescent="0.3"/>
    <row r="810" s="11" customFormat="1" x14ac:dyDescent="0.3"/>
    <row r="811" s="11" customFormat="1" x14ac:dyDescent="0.3"/>
    <row r="812" s="11" customFormat="1" x14ac:dyDescent="0.3"/>
    <row r="813" s="11" customFormat="1" x14ac:dyDescent="0.3"/>
    <row r="814" s="11" customFormat="1" x14ac:dyDescent="0.3"/>
    <row r="815" s="11" customFormat="1" x14ac:dyDescent="0.3"/>
    <row r="816" s="11" customFormat="1" x14ac:dyDescent="0.3"/>
    <row r="817" s="11" customFormat="1" x14ac:dyDescent="0.3"/>
    <row r="818" s="11" customFormat="1" x14ac:dyDescent="0.3"/>
    <row r="819" s="11" customFormat="1" x14ac:dyDescent="0.3"/>
    <row r="820" s="11" customFormat="1" x14ac:dyDescent="0.3"/>
    <row r="821" s="11" customFormat="1" x14ac:dyDescent="0.3"/>
    <row r="822" s="11" customFormat="1" x14ac:dyDescent="0.3"/>
    <row r="823" s="11" customFormat="1" x14ac:dyDescent="0.3"/>
    <row r="824" s="11" customFormat="1" x14ac:dyDescent="0.3"/>
    <row r="825" s="11" customFormat="1" x14ac:dyDescent="0.3"/>
    <row r="826" s="11" customFormat="1" x14ac:dyDescent="0.3"/>
    <row r="827" s="11" customFormat="1" x14ac:dyDescent="0.3"/>
    <row r="828" s="11" customFormat="1" x14ac:dyDescent="0.3"/>
    <row r="829" s="11" customFormat="1" x14ac:dyDescent="0.3"/>
    <row r="830" s="11" customFormat="1" x14ac:dyDescent="0.3"/>
    <row r="831" s="11" customFormat="1" x14ac:dyDescent="0.3"/>
    <row r="832" s="11" customFormat="1" x14ac:dyDescent="0.3"/>
    <row r="833" s="11" customFormat="1" x14ac:dyDescent="0.3"/>
    <row r="834" s="11" customFormat="1" x14ac:dyDescent="0.3"/>
    <row r="835" s="11" customFormat="1" x14ac:dyDescent="0.3"/>
    <row r="836" s="11" customFormat="1" x14ac:dyDescent="0.3"/>
    <row r="837" s="11" customFormat="1" x14ac:dyDescent="0.3"/>
    <row r="838" s="11" customFormat="1" x14ac:dyDescent="0.3"/>
    <row r="839" s="11" customFormat="1" x14ac:dyDescent="0.3"/>
    <row r="840" s="11" customFormat="1" x14ac:dyDescent="0.3"/>
    <row r="841" s="11" customFormat="1" x14ac:dyDescent="0.3"/>
    <row r="842" s="11" customFormat="1" x14ac:dyDescent="0.3"/>
    <row r="843" s="11" customFormat="1" x14ac:dyDescent="0.3"/>
    <row r="844" s="11" customFormat="1" x14ac:dyDescent="0.3"/>
    <row r="845" s="11" customFormat="1" x14ac:dyDescent="0.3"/>
    <row r="846" s="11" customFormat="1" x14ac:dyDescent="0.3"/>
    <row r="847" s="11" customFormat="1" x14ac:dyDescent="0.3"/>
    <row r="848" s="11" customFormat="1" x14ac:dyDescent="0.3"/>
    <row r="849" s="11" customFormat="1" x14ac:dyDescent="0.3"/>
    <row r="850" s="11" customFormat="1" x14ac:dyDescent="0.3"/>
    <row r="851" s="11" customFormat="1" x14ac:dyDescent="0.3"/>
    <row r="852" s="11" customFormat="1" x14ac:dyDescent="0.3"/>
    <row r="853" s="11" customFormat="1" x14ac:dyDescent="0.3"/>
    <row r="854" s="11" customFormat="1" x14ac:dyDescent="0.3"/>
    <row r="855" s="11" customFormat="1" x14ac:dyDescent="0.3"/>
    <row r="856" s="11" customFormat="1" x14ac:dyDescent="0.3"/>
    <row r="857" s="11" customFormat="1" x14ac:dyDescent="0.3"/>
    <row r="858" s="11" customFormat="1" x14ac:dyDescent="0.3"/>
    <row r="859" s="11" customFormat="1" x14ac:dyDescent="0.3"/>
    <row r="860" s="11" customFormat="1" x14ac:dyDescent="0.3"/>
    <row r="861" s="11" customFormat="1" x14ac:dyDescent="0.3"/>
    <row r="862" s="11" customFormat="1" x14ac:dyDescent="0.3"/>
    <row r="863" s="11" customFormat="1" x14ac:dyDescent="0.3"/>
    <row r="864" s="11" customFormat="1" x14ac:dyDescent="0.3"/>
    <row r="865" s="11" customFormat="1" x14ac:dyDescent="0.3"/>
    <row r="866" s="11" customFormat="1" x14ac:dyDescent="0.3"/>
    <row r="867" s="11" customFormat="1" x14ac:dyDescent="0.3"/>
    <row r="868" s="11" customFormat="1" x14ac:dyDescent="0.3"/>
    <row r="869" s="11" customFormat="1" x14ac:dyDescent="0.3"/>
    <row r="870" s="11" customFormat="1" x14ac:dyDescent="0.3"/>
    <row r="871" s="11" customFormat="1" x14ac:dyDescent="0.3"/>
    <row r="872" s="11" customFormat="1" x14ac:dyDescent="0.3"/>
    <row r="873" s="11" customFormat="1" x14ac:dyDescent="0.3"/>
    <row r="874" s="11" customFormat="1" x14ac:dyDescent="0.3"/>
    <row r="875" s="11" customFormat="1" x14ac:dyDescent="0.3"/>
    <row r="876" s="11" customFormat="1" x14ac:dyDescent="0.3"/>
    <row r="877" s="11" customFormat="1" x14ac:dyDescent="0.3"/>
    <row r="878" s="11" customFormat="1" x14ac:dyDescent="0.3"/>
    <row r="879" s="11" customFormat="1" x14ac:dyDescent="0.3"/>
    <row r="880" s="11" customFormat="1" x14ac:dyDescent="0.3"/>
    <row r="881" s="11" customFormat="1" x14ac:dyDescent="0.3"/>
    <row r="882" s="11" customFormat="1" x14ac:dyDescent="0.3"/>
    <row r="883" s="11" customFormat="1" x14ac:dyDescent="0.3"/>
    <row r="884" s="11" customFormat="1" x14ac:dyDescent="0.3"/>
    <row r="885" s="11" customFormat="1" x14ac:dyDescent="0.3"/>
    <row r="886" s="11" customFormat="1" x14ac:dyDescent="0.3"/>
    <row r="887" s="11" customFormat="1" x14ac:dyDescent="0.3"/>
    <row r="888" s="11" customFormat="1" x14ac:dyDescent="0.3"/>
    <row r="889" s="11" customFormat="1" x14ac:dyDescent="0.3"/>
    <row r="890" s="11" customFormat="1" x14ac:dyDescent="0.3"/>
    <row r="891" s="11" customFormat="1" x14ac:dyDescent="0.3"/>
    <row r="892" s="11" customFormat="1" x14ac:dyDescent="0.3"/>
    <row r="893" s="11" customFormat="1" x14ac:dyDescent="0.3"/>
    <row r="894" s="11" customFormat="1" x14ac:dyDescent="0.3"/>
    <row r="895" s="11" customFormat="1" x14ac:dyDescent="0.3"/>
    <row r="896" s="11" customFormat="1" x14ac:dyDescent="0.3"/>
    <row r="897" s="11" customFormat="1" x14ac:dyDescent="0.3"/>
    <row r="898" s="11" customFormat="1" x14ac:dyDescent="0.3"/>
    <row r="899" s="11" customFormat="1" x14ac:dyDescent="0.3"/>
    <row r="900" s="11" customFormat="1" x14ac:dyDescent="0.3"/>
    <row r="901" s="11" customFormat="1" x14ac:dyDescent="0.3"/>
    <row r="902" s="11" customFormat="1" x14ac:dyDescent="0.3"/>
    <row r="903" s="11" customFormat="1" x14ac:dyDescent="0.3"/>
    <row r="904" s="11" customFormat="1" x14ac:dyDescent="0.3"/>
    <row r="905" s="11" customFormat="1" x14ac:dyDescent="0.3"/>
    <row r="906" s="11" customFormat="1" x14ac:dyDescent="0.3"/>
    <row r="907" s="11" customFormat="1" x14ac:dyDescent="0.3"/>
    <row r="908" s="11" customFormat="1" x14ac:dyDescent="0.3"/>
    <row r="909" s="11" customFormat="1" x14ac:dyDescent="0.3"/>
    <row r="910" s="11" customFormat="1" x14ac:dyDescent="0.3"/>
    <row r="911" s="11" customFormat="1" x14ac:dyDescent="0.3"/>
    <row r="912" s="11" customFormat="1" x14ac:dyDescent="0.3"/>
    <row r="913" s="11" customFormat="1" x14ac:dyDescent="0.3"/>
    <row r="914" s="11" customFormat="1" x14ac:dyDescent="0.3"/>
    <row r="915" s="11" customFormat="1" x14ac:dyDescent="0.3"/>
    <row r="916" s="11" customFormat="1" x14ac:dyDescent="0.3"/>
    <row r="917" s="11" customFormat="1" x14ac:dyDescent="0.3"/>
    <row r="918" s="11" customFormat="1" x14ac:dyDescent="0.3"/>
    <row r="919" s="11" customFormat="1" x14ac:dyDescent="0.3"/>
    <row r="920" s="11" customFormat="1" x14ac:dyDescent="0.3"/>
    <row r="921" s="11" customFormat="1" x14ac:dyDescent="0.3"/>
    <row r="922" s="11" customFormat="1" x14ac:dyDescent="0.3"/>
    <row r="923" s="11" customFormat="1" x14ac:dyDescent="0.3"/>
    <row r="924" s="11" customFormat="1" x14ac:dyDescent="0.3"/>
    <row r="925" s="11" customFormat="1" x14ac:dyDescent="0.3"/>
    <row r="926" s="11" customFormat="1" x14ac:dyDescent="0.3"/>
    <row r="927" s="11" customFormat="1" x14ac:dyDescent="0.3"/>
    <row r="928" s="11" customFormat="1" x14ac:dyDescent="0.3"/>
    <row r="929" s="11" customFormat="1" x14ac:dyDescent="0.3"/>
    <row r="930" s="11" customFormat="1" x14ac:dyDescent="0.3"/>
    <row r="931" s="11" customFormat="1" x14ac:dyDescent="0.3"/>
    <row r="932" s="11" customFormat="1" x14ac:dyDescent="0.3"/>
    <row r="933" s="11" customFormat="1" x14ac:dyDescent="0.3"/>
    <row r="934" s="11" customFormat="1" x14ac:dyDescent="0.3"/>
    <row r="935" s="11" customFormat="1" x14ac:dyDescent="0.3"/>
    <row r="936" s="11" customFormat="1" x14ac:dyDescent="0.3"/>
    <row r="937" s="11" customFormat="1" x14ac:dyDescent="0.3"/>
    <row r="938" s="11" customFormat="1" x14ac:dyDescent="0.3"/>
    <row r="939" s="11" customFormat="1" x14ac:dyDescent="0.3"/>
    <row r="940" s="11" customFormat="1" x14ac:dyDescent="0.3"/>
    <row r="941" s="11" customFormat="1" x14ac:dyDescent="0.3"/>
    <row r="942" s="11" customFormat="1" x14ac:dyDescent="0.3"/>
    <row r="943" s="11" customFormat="1" x14ac:dyDescent="0.3"/>
    <row r="944" s="11" customFormat="1" x14ac:dyDescent="0.3"/>
    <row r="945" s="11" customFormat="1" x14ac:dyDescent="0.3"/>
    <row r="946" s="11" customFormat="1" x14ac:dyDescent="0.3"/>
    <row r="947" s="11" customFormat="1" x14ac:dyDescent="0.3"/>
    <row r="948" s="11" customFormat="1" x14ac:dyDescent="0.3"/>
    <row r="949" s="11" customFormat="1" x14ac:dyDescent="0.3"/>
    <row r="950" s="11" customFormat="1" x14ac:dyDescent="0.3"/>
    <row r="951" s="11" customFormat="1" x14ac:dyDescent="0.3"/>
    <row r="952" s="11" customFormat="1" x14ac:dyDescent="0.3"/>
    <row r="953" s="11" customFormat="1" x14ac:dyDescent="0.3"/>
    <row r="954" s="11" customFormat="1" x14ac:dyDescent="0.3"/>
    <row r="955" s="11" customFormat="1" x14ac:dyDescent="0.3"/>
    <row r="956" s="11" customFormat="1" x14ac:dyDescent="0.3"/>
    <row r="957" s="11" customFormat="1" x14ac:dyDescent="0.3"/>
    <row r="958" s="11" customFormat="1" x14ac:dyDescent="0.3"/>
    <row r="959" s="11" customFormat="1" x14ac:dyDescent="0.3"/>
    <row r="960" s="11" customFormat="1" x14ac:dyDescent="0.3"/>
    <row r="961" s="11" customFormat="1" x14ac:dyDescent="0.3"/>
    <row r="962" s="11" customFormat="1" x14ac:dyDescent="0.3"/>
    <row r="963" s="11" customFormat="1" x14ac:dyDescent="0.3"/>
    <row r="964" s="11" customFormat="1" x14ac:dyDescent="0.3"/>
    <row r="965" s="11" customFormat="1" x14ac:dyDescent="0.3"/>
    <row r="966" s="11" customFormat="1" x14ac:dyDescent="0.3"/>
    <row r="967" s="11" customFormat="1" x14ac:dyDescent="0.3"/>
    <row r="968" s="11" customFormat="1" x14ac:dyDescent="0.3"/>
    <row r="969" s="11" customFormat="1" x14ac:dyDescent="0.3"/>
    <row r="970" s="11" customFormat="1" x14ac:dyDescent="0.3"/>
    <row r="971" s="11" customFormat="1" x14ac:dyDescent="0.3"/>
    <row r="972" s="11" customFormat="1" x14ac:dyDescent="0.3"/>
    <row r="973" s="11" customFormat="1" x14ac:dyDescent="0.3"/>
    <row r="974" s="11" customFormat="1" x14ac:dyDescent="0.3"/>
    <row r="975" s="11" customFormat="1" x14ac:dyDescent="0.3"/>
    <row r="976" s="11" customFormat="1" x14ac:dyDescent="0.3"/>
    <row r="977" s="11" customFormat="1" x14ac:dyDescent="0.3"/>
    <row r="978" s="11" customFormat="1" x14ac:dyDescent="0.3"/>
    <row r="979" s="11" customFormat="1" x14ac:dyDescent="0.3"/>
    <row r="980" s="11" customFormat="1" x14ac:dyDescent="0.3"/>
    <row r="981" s="11" customFormat="1" x14ac:dyDescent="0.3"/>
    <row r="982" s="11" customFormat="1" x14ac:dyDescent="0.3"/>
    <row r="983" s="11" customFormat="1" x14ac:dyDescent="0.3"/>
    <row r="984" s="11" customFormat="1" x14ac:dyDescent="0.3"/>
    <row r="985" s="11" customFormat="1" x14ac:dyDescent="0.3"/>
    <row r="986" s="11" customFormat="1" x14ac:dyDescent="0.3"/>
    <row r="987" s="11" customFormat="1" x14ac:dyDescent="0.3"/>
    <row r="988" s="11" customFormat="1" x14ac:dyDescent="0.3"/>
    <row r="989" s="11" customFormat="1" x14ac:dyDescent="0.3"/>
    <row r="990" s="11" customFormat="1" x14ac:dyDescent="0.3"/>
    <row r="991" s="11" customFormat="1" x14ac:dyDescent="0.3"/>
    <row r="992" s="11" customFormat="1" x14ac:dyDescent="0.3"/>
    <row r="993" s="11" customFormat="1" x14ac:dyDescent="0.3"/>
    <row r="994" s="11" customFormat="1" x14ac:dyDescent="0.3"/>
    <row r="995" s="11" customFormat="1" x14ac:dyDescent="0.3"/>
    <row r="996" s="11" customFormat="1" x14ac:dyDescent="0.3"/>
    <row r="997" s="11" customFormat="1" x14ac:dyDescent="0.3"/>
    <row r="998" s="11" customFormat="1" x14ac:dyDescent="0.3"/>
    <row r="999" s="11" customFormat="1" x14ac:dyDescent="0.3"/>
    <row r="1000" s="11" customFormat="1" x14ac:dyDescent="0.3"/>
    <row r="1001" s="11" customFormat="1" x14ac:dyDescent="0.3"/>
    <row r="1002" s="11" customFormat="1" x14ac:dyDescent="0.3"/>
    <row r="1003" s="11" customFormat="1" x14ac:dyDescent="0.3"/>
    <row r="1004" s="11" customFormat="1" x14ac:dyDescent="0.3"/>
    <row r="1005" s="11" customFormat="1" x14ac:dyDescent="0.3"/>
    <row r="1006" s="11" customFormat="1" x14ac:dyDescent="0.3"/>
    <row r="1007" s="11" customFormat="1" x14ac:dyDescent="0.3"/>
    <row r="1008" s="11" customFormat="1" x14ac:dyDescent="0.3"/>
    <row r="1009" s="11" customFormat="1" x14ac:dyDescent="0.3"/>
    <row r="1010" s="11" customFormat="1" x14ac:dyDescent="0.3"/>
    <row r="1011" s="11" customFormat="1" x14ac:dyDescent="0.3"/>
    <row r="1012" s="11" customFormat="1" x14ac:dyDescent="0.3"/>
    <row r="1013" s="11" customFormat="1" x14ac:dyDescent="0.3"/>
    <row r="1014" s="11" customFormat="1" x14ac:dyDescent="0.3"/>
    <row r="1015" s="11" customFormat="1" x14ac:dyDescent="0.3"/>
    <row r="1016" s="11" customFormat="1" x14ac:dyDescent="0.3"/>
    <row r="1017" s="11" customFormat="1" x14ac:dyDescent="0.3"/>
    <row r="1018" s="11" customFormat="1" x14ac:dyDescent="0.3"/>
    <row r="1019" s="11" customFormat="1" x14ac:dyDescent="0.3"/>
    <row r="1020" s="11" customFormat="1" x14ac:dyDescent="0.3"/>
    <row r="1021" s="11" customFormat="1" x14ac:dyDescent="0.3"/>
    <row r="1022" s="11" customFormat="1" x14ac:dyDescent="0.3"/>
    <row r="1023" s="11" customFormat="1" x14ac:dyDescent="0.3"/>
    <row r="1024" s="11" customFormat="1" x14ac:dyDescent="0.3"/>
    <row r="1025" s="11" customFormat="1" x14ac:dyDescent="0.3"/>
    <row r="1026" s="11" customFormat="1" x14ac:dyDescent="0.3"/>
    <row r="1027" s="11" customFormat="1" x14ac:dyDescent="0.3"/>
    <row r="1028" s="11" customFormat="1" x14ac:dyDescent="0.3"/>
    <row r="1029" s="11" customFormat="1" x14ac:dyDescent="0.3"/>
    <row r="1030" s="11" customFormat="1" x14ac:dyDescent="0.3"/>
    <row r="1031" s="11" customFormat="1" x14ac:dyDescent="0.3"/>
    <row r="1032" s="11" customFormat="1" x14ac:dyDescent="0.3"/>
    <row r="1033" s="11" customFormat="1" x14ac:dyDescent="0.3"/>
    <row r="1034" s="11" customFormat="1" x14ac:dyDescent="0.3"/>
    <row r="1035" s="11" customFormat="1" x14ac:dyDescent="0.3"/>
    <row r="1036" s="11" customFormat="1" x14ac:dyDescent="0.3"/>
    <row r="1037" s="11" customFormat="1" x14ac:dyDescent="0.3"/>
    <row r="1038" s="11" customFormat="1" x14ac:dyDescent="0.3"/>
    <row r="1039" s="11" customFormat="1" x14ac:dyDescent="0.3"/>
    <row r="1040" s="11" customFormat="1" x14ac:dyDescent="0.3"/>
    <row r="1041" s="11" customFormat="1" x14ac:dyDescent="0.3"/>
    <row r="1042" s="11" customFormat="1" x14ac:dyDescent="0.3"/>
    <row r="1043" s="11" customFormat="1" x14ac:dyDescent="0.3"/>
    <row r="1044" s="11" customFormat="1" x14ac:dyDescent="0.3"/>
    <row r="1045" s="11" customFormat="1" x14ac:dyDescent="0.3"/>
    <row r="1046" s="11" customFormat="1" x14ac:dyDescent="0.3"/>
    <row r="1047" s="11" customFormat="1" x14ac:dyDescent="0.3"/>
    <row r="1048" s="11" customFormat="1" x14ac:dyDescent="0.3"/>
    <row r="1049" s="11" customFormat="1" x14ac:dyDescent="0.3"/>
    <row r="1050" s="11" customFormat="1" x14ac:dyDescent="0.3"/>
    <row r="1051" s="11" customFormat="1" x14ac:dyDescent="0.3"/>
    <row r="1052" s="11" customFormat="1" x14ac:dyDescent="0.3"/>
    <row r="1053" s="11" customFormat="1" x14ac:dyDescent="0.3"/>
    <row r="1054" s="11" customFormat="1" x14ac:dyDescent="0.3"/>
    <row r="1055" s="11" customFormat="1" x14ac:dyDescent="0.3"/>
    <row r="1056" s="11" customFormat="1" x14ac:dyDescent="0.3"/>
    <row r="1057" s="11" customFormat="1" x14ac:dyDescent="0.3"/>
    <row r="1058" s="11" customFormat="1" x14ac:dyDescent="0.3"/>
    <row r="1059" s="11" customFormat="1" x14ac:dyDescent="0.3"/>
    <row r="1060" s="11" customFormat="1" x14ac:dyDescent="0.3"/>
    <row r="1061" s="11" customFormat="1" x14ac:dyDescent="0.3"/>
    <row r="1062" s="11" customFormat="1" x14ac:dyDescent="0.3"/>
    <row r="1063" s="11" customFormat="1" x14ac:dyDescent="0.3"/>
    <row r="1064" s="11" customFormat="1" x14ac:dyDescent="0.3"/>
    <row r="1065" s="11" customFormat="1" x14ac:dyDescent="0.3"/>
    <row r="1066" s="11" customFormat="1" x14ac:dyDescent="0.3"/>
    <row r="1067" s="11" customFormat="1" x14ac:dyDescent="0.3"/>
    <row r="1068" s="11" customFormat="1" x14ac:dyDescent="0.3"/>
    <row r="1069" s="11" customFormat="1" x14ac:dyDescent="0.3"/>
    <row r="1070" s="11" customFormat="1" x14ac:dyDescent="0.3"/>
    <row r="1071" s="11" customFormat="1" x14ac:dyDescent="0.3"/>
    <row r="1072" s="11" customFormat="1" x14ac:dyDescent="0.3"/>
    <row r="1073" s="11" customFormat="1" x14ac:dyDescent="0.3"/>
    <row r="1074" s="11" customFormat="1" x14ac:dyDescent="0.3"/>
    <row r="1075" s="11" customFormat="1" x14ac:dyDescent="0.3"/>
    <row r="1076" s="11" customFormat="1" x14ac:dyDescent="0.3"/>
    <row r="1077" s="11" customFormat="1" x14ac:dyDescent="0.3"/>
    <row r="1078" s="11" customFormat="1" x14ac:dyDescent="0.3"/>
    <row r="1079" s="11" customFormat="1" x14ac:dyDescent="0.3"/>
    <row r="1080" s="11" customFormat="1" x14ac:dyDescent="0.3"/>
    <row r="1081" s="11" customFormat="1" x14ac:dyDescent="0.3"/>
    <row r="1082" s="11" customFormat="1" x14ac:dyDescent="0.3"/>
    <row r="1083" s="11" customFormat="1" x14ac:dyDescent="0.3"/>
    <row r="1084" s="11" customFormat="1" x14ac:dyDescent="0.3"/>
    <row r="1085" s="11" customFormat="1" x14ac:dyDescent="0.3"/>
    <row r="1086" s="11" customFormat="1" x14ac:dyDescent="0.3"/>
    <row r="1087" s="11" customFormat="1" x14ac:dyDescent="0.3"/>
    <row r="1088" s="11" customFormat="1" x14ac:dyDescent="0.3"/>
    <row r="1089" s="11" customFormat="1" x14ac:dyDescent="0.3"/>
    <row r="1090" s="11" customFormat="1" x14ac:dyDescent="0.3"/>
    <row r="1091" s="11" customFormat="1" x14ac:dyDescent="0.3"/>
    <row r="1092" s="11" customFormat="1" x14ac:dyDescent="0.3"/>
    <row r="1093" s="11" customFormat="1" x14ac:dyDescent="0.3"/>
    <row r="1094" s="11" customFormat="1" x14ac:dyDescent="0.3"/>
    <row r="1095" s="11" customFormat="1" x14ac:dyDescent="0.3"/>
    <row r="1096" s="11" customFormat="1" x14ac:dyDescent="0.3"/>
    <row r="1097" s="11" customFormat="1" x14ac:dyDescent="0.3"/>
    <row r="1098" s="11" customFormat="1" x14ac:dyDescent="0.3"/>
    <row r="1099" s="11" customFormat="1" x14ac:dyDescent="0.3"/>
    <row r="1100" s="11" customFormat="1" x14ac:dyDescent="0.3"/>
    <row r="1101" s="11" customFormat="1" x14ac:dyDescent="0.3"/>
    <row r="1102" s="11" customFormat="1" x14ac:dyDescent="0.3"/>
    <row r="1103" s="11" customFormat="1" x14ac:dyDescent="0.3"/>
    <row r="1104" s="11" customFormat="1" x14ac:dyDescent="0.3"/>
    <row r="1105" s="11" customFormat="1" x14ac:dyDescent="0.3"/>
    <row r="1106" s="11" customFormat="1" x14ac:dyDescent="0.3"/>
    <row r="1107" s="11" customFormat="1" x14ac:dyDescent="0.3"/>
    <row r="1108" s="11" customFormat="1" x14ac:dyDescent="0.3"/>
    <row r="1109" s="11" customFormat="1" x14ac:dyDescent="0.3"/>
    <row r="1110" s="11" customFormat="1" x14ac:dyDescent="0.3"/>
    <row r="1111" s="11" customFormat="1" x14ac:dyDescent="0.3"/>
    <row r="1112" s="11" customFormat="1" x14ac:dyDescent="0.3"/>
    <row r="1113" s="11" customFormat="1" x14ac:dyDescent="0.3"/>
    <row r="1114" s="11" customFormat="1" x14ac:dyDescent="0.3"/>
    <row r="1115" s="11" customFormat="1" x14ac:dyDescent="0.3"/>
    <row r="1116" s="11" customFormat="1" x14ac:dyDescent="0.3"/>
    <row r="1117" s="11" customFormat="1" x14ac:dyDescent="0.3"/>
    <row r="1118" s="11" customFormat="1" x14ac:dyDescent="0.3"/>
    <row r="1119" s="11" customFormat="1" x14ac:dyDescent="0.3"/>
    <row r="1120" s="11" customFormat="1" x14ac:dyDescent="0.3"/>
    <row r="1121" s="11" customFormat="1" x14ac:dyDescent="0.3"/>
    <row r="1122" s="11" customFormat="1" x14ac:dyDescent="0.3"/>
    <row r="1123" s="11" customFormat="1" x14ac:dyDescent="0.3"/>
    <row r="1124" s="11" customFormat="1" x14ac:dyDescent="0.3"/>
    <row r="1125" s="11" customFormat="1" x14ac:dyDescent="0.3"/>
    <row r="1126" s="11" customFormat="1" x14ac:dyDescent="0.3"/>
    <row r="1127" s="11" customFormat="1" x14ac:dyDescent="0.3"/>
    <row r="1128" s="11" customFormat="1" x14ac:dyDescent="0.3"/>
    <row r="1129" s="11" customFormat="1" x14ac:dyDescent="0.3"/>
    <row r="1130" s="11" customFormat="1" x14ac:dyDescent="0.3"/>
    <row r="1131" s="11" customFormat="1" x14ac:dyDescent="0.3"/>
    <row r="1132" s="11" customFormat="1" x14ac:dyDescent="0.3"/>
    <row r="1133" s="11" customFormat="1" x14ac:dyDescent="0.3"/>
    <row r="1134" s="11" customFormat="1" x14ac:dyDescent="0.3"/>
    <row r="1135" s="11" customFormat="1" x14ac:dyDescent="0.3"/>
    <row r="1136" s="11" customFormat="1" x14ac:dyDescent="0.3"/>
    <row r="1137" s="11" customFormat="1" x14ac:dyDescent="0.3"/>
    <row r="1138" s="11" customFormat="1" x14ac:dyDescent="0.3"/>
    <row r="1139" s="11" customFormat="1" x14ac:dyDescent="0.3"/>
    <row r="1140" s="11" customFormat="1" x14ac:dyDescent="0.3"/>
    <row r="1141" s="11" customFormat="1" x14ac:dyDescent="0.3"/>
    <row r="1142" s="11" customFormat="1" x14ac:dyDescent="0.3"/>
    <row r="1143" s="11" customFormat="1" x14ac:dyDescent="0.3"/>
    <row r="1144" s="11" customFormat="1" x14ac:dyDescent="0.3"/>
    <row r="1145" s="11" customFormat="1" x14ac:dyDescent="0.3"/>
    <row r="1146" s="11" customFormat="1" x14ac:dyDescent="0.3"/>
    <row r="1147" s="11" customFormat="1" x14ac:dyDescent="0.3"/>
    <row r="1148" s="11" customFormat="1" x14ac:dyDescent="0.3"/>
    <row r="1149" s="11" customFormat="1" x14ac:dyDescent="0.3"/>
    <row r="1150" s="11" customFormat="1" x14ac:dyDescent="0.3"/>
    <row r="1151" s="11" customFormat="1" x14ac:dyDescent="0.3"/>
    <row r="1152" s="11" customFormat="1" x14ac:dyDescent="0.3"/>
    <row r="1153" s="11" customFormat="1" x14ac:dyDescent="0.3"/>
    <row r="1154" s="11" customFormat="1" x14ac:dyDescent="0.3"/>
    <row r="1155" s="11" customFormat="1" x14ac:dyDescent="0.3"/>
    <row r="1156" s="11" customFormat="1" x14ac:dyDescent="0.3"/>
    <row r="1157" s="11" customFormat="1" x14ac:dyDescent="0.3"/>
    <row r="1158" s="11" customFormat="1" x14ac:dyDescent="0.3"/>
    <row r="1159" s="11" customFormat="1" x14ac:dyDescent="0.3"/>
    <row r="1160" s="11" customFormat="1" x14ac:dyDescent="0.3"/>
    <row r="1161" s="11" customFormat="1" x14ac:dyDescent="0.3"/>
    <row r="1162" s="11" customFormat="1" x14ac:dyDescent="0.3"/>
    <row r="1163" s="11" customFormat="1" x14ac:dyDescent="0.3"/>
    <row r="1164" s="11" customFormat="1" x14ac:dyDescent="0.3"/>
    <row r="1165" s="11" customFormat="1" x14ac:dyDescent="0.3"/>
    <row r="1166" s="11" customFormat="1" x14ac:dyDescent="0.3"/>
    <row r="1167" s="11" customFormat="1" x14ac:dyDescent="0.3"/>
    <row r="1168" s="11" customFormat="1" x14ac:dyDescent="0.3"/>
    <row r="1169" s="11" customFormat="1" x14ac:dyDescent="0.3"/>
    <row r="1170" s="11" customFormat="1" x14ac:dyDescent="0.3"/>
    <row r="1171" s="11" customFormat="1" x14ac:dyDescent="0.3"/>
    <row r="1172" s="11" customFormat="1" x14ac:dyDescent="0.3"/>
    <row r="1173" s="11" customFormat="1" x14ac:dyDescent="0.3"/>
    <row r="1174" s="11" customFormat="1" x14ac:dyDescent="0.3"/>
    <row r="1175" s="11" customFormat="1" x14ac:dyDescent="0.3"/>
    <row r="1176" s="11" customFormat="1" x14ac:dyDescent="0.3"/>
    <row r="1177" s="11" customFormat="1" x14ac:dyDescent="0.3"/>
    <row r="1178" s="11" customFormat="1" x14ac:dyDescent="0.3"/>
    <row r="1179" s="11" customFormat="1" x14ac:dyDescent="0.3"/>
    <row r="1180" s="11" customFormat="1" x14ac:dyDescent="0.3"/>
    <row r="1181" s="11" customFormat="1" x14ac:dyDescent="0.3"/>
    <row r="1182" s="11" customFormat="1" x14ac:dyDescent="0.3"/>
    <row r="1183" s="11" customFormat="1" x14ac:dyDescent="0.3"/>
    <row r="1184" s="11" customFormat="1" x14ac:dyDescent="0.3"/>
    <row r="1185" s="11" customFormat="1" x14ac:dyDescent="0.3"/>
    <row r="1186" s="11" customFormat="1" x14ac:dyDescent="0.3"/>
    <row r="1187" s="11" customFormat="1" x14ac:dyDescent="0.3"/>
    <row r="1188" s="11" customFormat="1" x14ac:dyDescent="0.3"/>
    <row r="1189" s="11" customFormat="1" x14ac:dyDescent="0.3"/>
    <row r="1190" s="11" customFormat="1" x14ac:dyDescent="0.3"/>
    <row r="1191" s="11" customFormat="1" x14ac:dyDescent="0.3"/>
    <row r="1192" s="11" customFormat="1" x14ac:dyDescent="0.3"/>
    <row r="1193" s="11" customFormat="1" x14ac:dyDescent="0.3"/>
    <row r="1194" s="11" customFormat="1" x14ac:dyDescent="0.3"/>
    <row r="1195" s="11" customFormat="1" x14ac:dyDescent="0.3"/>
    <row r="1196" s="11" customFormat="1" x14ac:dyDescent="0.3"/>
    <row r="1197" s="11" customFormat="1" x14ac:dyDescent="0.3"/>
    <row r="1198" s="11" customFormat="1" x14ac:dyDescent="0.3"/>
    <row r="1199" s="11" customFormat="1" x14ac:dyDescent="0.3"/>
    <row r="1200" s="11" customFormat="1" x14ac:dyDescent="0.3"/>
    <row r="1201" s="11" customFormat="1" x14ac:dyDescent="0.3"/>
    <row r="1202" s="11" customFormat="1" x14ac:dyDescent="0.3"/>
    <row r="1203" s="11" customFormat="1" x14ac:dyDescent="0.3"/>
    <row r="1204" s="11" customFormat="1" x14ac:dyDescent="0.3"/>
    <row r="1205" s="11" customFormat="1" x14ac:dyDescent="0.3"/>
    <row r="1206" s="11" customFormat="1" x14ac:dyDescent="0.3"/>
    <row r="1207" s="11" customFormat="1" x14ac:dyDescent="0.3"/>
    <row r="1208" s="11" customFormat="1" x14ac:dyDescent="0.3"/>
    <row r="1209" s="11" customFormat="1" x14ac:dyDescent="0.3"/>
    <row r="1210" s="11" customFormat="1" x14ac:dyDescent="0.3"/>
    <row r="1211" s="11" customFormat="1" x14ac:dyDescent="0.3"/>
    <row r="1212" s="11" customFormat="1" x14ac:dyDescent="0.3"/>
    <row r="1213" s="11" customFormat="1" x14ac:dyDescent="0.3"/>
    <row r="1214" s="11" customFormat="1" x14ac:dyDescent="0.3"/>
    <row r="1215" s="11" customFormat="1" x14ac:dyDescent="0.3"/>
    <row r="1216" s="11" customFormat="1" x14ac:dyDescent="0.3"/>
    <row r="1217" s="11" customFormat="1" x14ac:dyDescent="0.3"/>
    <row r="1218" s="11" customFormat="1" x14ac:dyDescent="0.3"/>
    <row r="1219" s="11" customFormat="1" x14ac:dyDescent="0.3"/>
    <row r="1220" s="11" customFormat="1" x14ac:dyDescent="0.3"/>
    <row r="1221" s="11" customFormat="1" x14ac:dyDescent="0.3"/>
    <row r="1222" s="11" customFormat="1" x14ac:dyDescent="0.3"/>
    <row r="1223" s="11" customFormat="1" x14ac:dyDescent="0.3"/>
    <row r="1224" s="11" customFormat="1" x14ac:dyDescent="0.3"/>
    <row r="1225" s="11" customFormat="1" x14ac:dyDescent="0.3"/>
    <row r="1226" s="11" customFormat="1" x14ac:dyDescent="0.3"/>
    <row r="1227" s="11" customFormat="1" x14ac:dyDescent="0.3"/>
    <row r="1228" s="11" customFormat="1" x14ac:dyDescent="0.3"/>
    <row r="1229" s="11" customFormat="1" x14ac:dyDescent="0.3"/>
    <row r="1230" s="11" customFormat="1" x14ac:dyDescent="0.3"/>
    <row r="1231" s="11" customFormat="1" x14ac:dyDescent="0.3"/>
    <row r="1232" s="11" customFormat="1" x14ac:dyDescent="0.3"/>
    <row r="1233" s="11" customFormat="1" x14ac:dyDescent="0.3"/>
    <row r="1234" s="11" customFormat="1" x14ac:dyDescent="0.3"/>
    <row r="1235" s="11" customFormat="1" x14ac:dyDescent="0.3"/>
    <row r="1236" s="11" customFormat="1" x14ac:dyDescent="0.3"/>
    <row r="1237" s="11" customFormat="1" x14ac:dyDescent="0.3"/>
    <row r="1238" s="11" customFormat="1" x14ac:dyDescent="0.3"/>
    <row r="1239" s="11" customFormat="1" x14ac:dyDescent="0.3"/>
    <row r="1240" s="11" customFormat="1" x14ac:dyDescent="0.3"/>
    <row r="1241" s="11" customFormat="1" x14ac:dyDescent="0.3"/>
    <row r="1242" s="11" customFormat="1" x14ac:dyDescent="0.3"/>
    <row r="1243" s="11" customFormat="1" x14ac:dyDescent="0.3"/>
    <row r="1244" s="11" customFormat="1" x14ac:dyDescent="0.3"/>
    <row r="1245" s="11" customFormat="1" x14ac:dyDescent="0.3"/>
    <row r="1246" s="11" customFormat="1" x14ac:dyDescent="0.3"/>
    <row r="1247" s="11" customFormat="1" x14ac:dyDescent="0.3"/>
    <row r="1248" s="11" customFormat="1" x14ac:dyDescent="0.3"/>
    <row r="1249" s="11" customFormat="1" x14ac:dyDescent="0.3"/>
    <row r="1250" s="11" customFormat="1" x14ac:dyDescent="0.3"/>
    <row r="1251" s="11" customFormat="1" x14ac:dyDescent="0.3"/>
    <row r="1252" s="11" customFormat="1" x14ac:dyDescent="0.3"/>
    <row r="1253" s="11" customFormat="1" x14ac:dyDescent="0.3"/>
    <row r="1254" s="11" customFormat="1" x14ac:dyDescent="0.3"/>
    <row r="1255" s="11" customFormat="1" x14ac:dyDescent="0.3"/>
    <row r="1256" s="11" customFormat="1" x14ac:dyDescent="0.3"/>
    <row r="1257" s="11" customFormat="1" x14ac:dyDescent="0.3"/>
    <row r="1258" s="11" customFormat="1" x14ac:dyDescent="0.3"/>
    <row r="1259" s="11" customFormat="1" x14ac:dyDescent="0.3"/>
    <row r="1260" s="11" customFormat="1" x14ac:dyDescent="0.3"/>
    <row r="1261" s="11" customFormat="1" x14ac:dyDescent="0.3"/>
    <row r="1262" s="11" customFormat="1" x14ac:dyDescent="0.3"/>
    <row r="1263" s="11" customFormat="1" x14ac:dyDescent="0.3"/>
    <row r="1264" s="11" customFormat="1" x14ac:dyDescent="0.3"/>
    <row r="1265" s="11" customFormat="1" x14ac:dyDescent="0.3"/>
    <row r="1266" s="11" customFormat="1" x14ac:dyDescent="0.3"/>
    <row r="1267" s="11" customFormat="1" x14ac:dyDescent="0.3"/>
    <row r="1268" s="11" customFormat="1" x14ac:dyDescent="0.3"/>
    <row r="1269" s="11" customFormat="1" x14ac:dyDescent="0.3"/>
    <row r="1270" s="11" customFormat="1" x14ac:dyDescent="0.3"/>
    <row r="1271" s="11" customFormat="1" x14ac:dyDescent="0.3"/>
    <row r="1272" s="11" customFormat="1" x14ac:dyDescent="0.3"/>
    <row r="1273" s="11" customFormat="1" x14ac:dyDescent="0.3"/>
    <row r="1274" s="11" customFormat="1" x14ac:dyDescent="0.3"/>
    <row r="1275" s="11" customFormat="1" x14ac:dyDescent="0.3"/>
    <row r="1276" s="11" customFormat="1" x14ac:dyDescent="0.3"/>
    <row r="1277" s="11" customFormat="1" x14ac:dyDescent="0.3"/>
    <row r="1278" s="11" customFormat="1" x14ac:dyDescent="0.3"/>
    <row r="1279" s="11" customFormat="1" x14ac:dyDescent="0.3"/>
    <row r="1280" s="11" customFormat="1" x14ac:dyDescent="0.3"/>
    <row r="1281" s="11" customFormat="1" x14ac:dyDescent="0.3"/>
    <row r="1282" s="11" customFormat="1" x14ac:dyDescent="0.3"/>
    <row r="1283" s="11" customFormat="1" x14ac:dyDescent="0.3"/>
    <row r="1284" s="11" customFormat="1" x14ac:dyDescent="0.3"/>
    <row r="1285" s="11" customFormat="1" x14ac:dyDescent="0.3"/>
    <row r="1286" s="11" customFormat="1" x14ac:dyDescent="0.3"/>
    <row r="1287" s="11" customFormat="1" x14ac:dyDescent="0.3"/>
    <row r="1288" s="11" customFormat="1" x14ac:dyDescent="0.3"/>
    <row r="1289" s="11" customFormat="1" x14ac:dyDescent="0.3"/>
    <row r="1290" s="11" customFormat="1" x14ac:dyDescent="0.3"/>
    <row r="1291" s="11" customFormat="1" x14ac:dyDescent="0.3"/>
    <row r="1292" s="11" customFormat="1" x14ac:dyDescent="0.3"/>
    <row r="1293" s="11" customFormat="1" x14ac:dyDescent="0.3"/>
    <row r="1294" s="11" customFormat="1" x14ac:dyDescent="0.3"/>
    <row r="1295" s="11" customFormat="1" x14ac:dyDescent="0.3"/>
    <row r="1296" s="11" customFormat="1" x14ac:dyDescent="0.3"/>
    <row r="1297" s="11" customFormat="1" x14ac:dyDescent="0.3"/>
    <row r="1298" s="11" customFormat="1" x14ac:dyDescent="0.3"/>
    <row r="1299" s="11" customFormat="1" x14ac:dyDescent="0.3"/>
    <row r="1300" s="11" customFormat="1" x14ac:dyDescent="0.3"/>
    <row r="1301" s="11" customFormat="1" x14ac:dyDescent="0.3"/>
    <row r="1302" s="11" customFormat="1" x14ac:dyDescent="0.3"/>
    <row r="1303" s="11" customFormat="1" x14ac:dyDescent="0.3"/>
    <row r="1304" s="11" customFormat="1" x14ac:dyDescent="0.3"/>
    <row r="1305" s="11" customFormat="1" x14ac:dyDescent="0.3"/>
    <row r="1306" s="11" customFormat="1" x14ac:dyDescent="0.3"/>
    <row r="1307" s="11" customFormat="1" x14ac:dyDescent="0.3"/>
    <row r="1308" s="11" customFormat="1" x14ac:dyDescent="0.3"/>
    <row r="1309" s="11" customFormat="1" x14ac:dyDescent="0.3"/>
    <row r="1310" s="11" customFormat="1" x14ac:dyDescent="0.3"/>
    <row r="1311" s="11" customFormat="1" x14ac:dyDescent="0.3"/>
    <row r="1312" s="11" customFormat="1" x14ac:dyDescent="0.3"/>
    <row r="1313" s="11" customFormat="1" x14ac:dyDescent="0.3"/>
    <row r="1314" s="11" customFormat="1" x14ac:dyDescent="0.3"/>
    <row r="1315" s="11" customFormat="1" x14ac:dyDescent="0.3"/>
    <row r="1316" s="11" customFormat="1" x14ac:dyDescent="0.3"/>
    <row r="1317" s="11" customFormat="1" x14ac:dyDescent="0.3"/>
    <row r="1318" s="11" customFormat="1" x14ac:dyDescent="0.3"/>
    <row r="1319" s="11" customFormat="1" x14ac:dyDescent="0.3"/>
    <row r="1320" s="11" customFormat="1" x14ac:dyDescent="0.3"/>
    <row r="1321" s="11" customFormat="1" x14ac:dyDescent="0.3"/>
    <row r="1322" s="11" customFormat="1" x14ac:dyDescent="0.3"/>
    <row r="1323" s="11" customFormat="1" x14ac:dyDescent="0.3"/>
    <row r="1324" s="11" customFormat="1" x14ac:dyDescent="0.3"/>
    <row r="1325" s="11" customFormat="1" x14ac:dyDescent="0.3"/>
    <row r="1326" s="11" customFormat="1" x14ac:dyDescent="0.3"/>
    <row r="1327" s="11" customFormat="1" x14ac:dyDescent="0.3"/>
    <row r="1328" s="11" customFormat="1" x14ac:dyDescent="0.3"/>
    <row r="1329" s="11" customFormat="1" x14ac:dyDescent="0.3"/>
    <row r="1330" s="11" customFormat="1" x14ac:dyDescent="0.3"/>
    <row r="1331" s="11" customFormat="1" x14ac:dyDescent="0.3"/>
    <row r="1332" s="11" customFormat="1" x14ac:dyDescent="0.3"/>
    <row r="1333" s="11" customFormat="1" x14ac:dyDescent="0.3"/>
    <row r="1334" s="11" customFormat="1" x14ac:dyDescent="0.3"/>
    <row r="1335" s="11" customFormat="1" x14ac:dyDescent="0.3"/>
    <row r="1336" s="11" customFormat="1" x14ac:dyDescent="0.3"/>
    <row r="1337" s="11" customFormat="1" x14ac:dyDescent="0.3"/>
    <row r="1338" s="11" customFormat="1" x14ac:dyDescent="0.3"/>
    <row r="1339" s="11" customFormat="1" x14ac:dyDescent="0.3"/>
    <row r="1340" s="11" customFormat="1" x14ac:dyDescent="0.3"/>
    <row r="1341" s="11" customFormat="1" x14ac:dyDescent="0.3"/>
    <row r="1342" s="11" customFormat="1" x14ac:dyDescent="0.3"/>
    <row r="1343" s="11" customFormat="1" x14ac:dyDescent="0.3"/>
    <row r="1344" s="11" customFormat="1" x14ac:dyDescent="0.3"/>
    <row r="1345" s="11" customFormat="1" x14ac:dyDescent="0.3"/>
    <row r="1346" s="11" customFormat="1" x14ac:dyDescent="0.3"/>
    <row r="1347" s="11" customFormat="1" x14ac:dyDescent="0.3"/>
    <row r="1348" s="11" customFormat="1" x14ac:dyDescent="0.3"/>
    <row r="1349" s="11" customFormat="1" x14ac:dyDescent="0.3"/>
    <row r="1350" s="11" customFormat="1" x14ac:dyDescent="0.3"/>
    <row r="1351" s="11" customFormat="1" x14ac:dyDescent="0.3"/>
    <row r="1352" s="11" customFormat="1" x14ac:dyDescent="0.3"/>
    <row r="1353" s="11" customFormat="1" x14ac:dyDescent="0.3"/>
    <row r="1354" s="11" customFormat="1" x14ac:dyDescent="0.3"/>
    <row r="1355" s="11" customFormat="1" x14ac:dyDescent="0.3"/>
    <row r="1356" s="11" customFormat="1" x14ac:dyDescent="0.3"/>
    <row r="1357" s="11" customFormat="1" x14ac:dyDescent="0.3"/>
    <row r="1358" s="11" customFormat="1" x14ac:dyDescent="0.3"/>
    <row r="1359" s="11" customFormat="1" x14ac:dyDescent="0.3"/>
    <row r="1360" s="11" customFormat="1" x14ac:dyDescent="0.3"/>
    <row r="1361" s="11" customFormat="1" x14ac:dyDescent="0.3"/>
    <row r="1362" s="11" customFormat="1" x14ac:dyDescent="0.3"/>
    <row r="1363" s="11" customFormat="1" x14ac:dyDescent="0.3"/>
    <row r="1364" s="11" customFormat="1" x14ac:dyDescent="0.3"/>
    <row r="1365" s="11" customFormat="1" x14ac:dyDescent="0.3"/>
    <row r="1366" s="11" customFormat="1" x14ac:dyDescent="0.3"/>
    <row r="1367" s="11" customFormat="1" x14ac:dyDescent="0.3"/>
    <row r="1368" s="11" customFormat="1" x14ac:dyDescent="0.3"/>
    <row r="1369" s="11" customFormat="1" x14ac:dyDescent="0.3"/>
    <row r="1370" s="11" customFormat="1" x14ac:dyDescent="0.3"/>
    <row r="1371" s="11" customFormat="1" x14ac:dyDescent="0.3"/>
    <row r="1372" s="11" customFormat="1" x14ac:dyDescent="0.3"/>
    <row r="1373" s="11" customFormat="1" x14ac:dyDescent="0.3"/>
    <row r="1374" s="11" customFormat="1" x14ac:dyDescent="0.3"/>
    <row r="1375" s="11" customFormat="1" x14ac:dyDescent="0.3"/>
    <row r="1376" s="11" customFormat="1" x14ac:dyDescent="0.3"/>
    <row r="1377" s="11" customFormat="1" x14ac:dyDescent="0.3"/>
    <row r="1378" s="11" customFormat="1" x14ac:dyDescent="0.3"/>
    <row r="1379" s="11" customFormat="1" x14ac:dyDescent="0.3"/>
    <row r="1380" s="11" customFormat="1" x14ac:dyDescent="0.3"/>
    <row r="1381" s="11" customFormat="1" x14ac:dyDescent="0.3"/>
    <row r="1382" s="11" customFormat="1" x14ac:dyDescent="0.3"/>
    <row r="1383" s="11" customFormat="1" x14ac:dyDescent="0.3"/>
    <row r="1384" s="11" customFormat="1" x14ac:dyDescent="0.3"/>
    <row r="1385" s="11" customFormat="1" x14ac:dyDescent="0.3"/>
    <row r="1386" s="11" customFormat="1" x14ac:dyDescent="0.3"/>
    <row r="1387" s="11" customFormat="1" x14ac:dyDescent="0.3"/>
    <row r="1388" s="11" customFormat="1" x14ac:dyDescent="0.3"/>
    <row r="1389" s="11" customFormat="1" x14ac:dyDescent="0.3"/>
    <row r="1390" s="11" customFormat="1" x14ac:dyDescent="0.3"/>
    <row r="1391" s="11" customFormat="1" x14ac:dyDescent="0.3"/>
    <row r="1392" s="11" customFormat="1" x14ac:dyDescent="0.3"/>
    <row r="1393" s="11" customFormat="1" x14ac:dyDescent="0.3"/>
    <row r="1394" s="11" customFormat="1" x14ac:dyDescent="0.3"/>
    <row r="1395" s="11" customFormat="1" x14ac:dyDescent="0.3"/>
    <row r="1396" s="11" customFormat="1" x14ac:dyDescent="0.3"/>
    <row r="1397" s="11" customFormat="1" x14ac:dyDescent="0.3"/>
    <row r="1398" s="11" customFormat="1" x14ac:dyDescent="0.3"/>
    <row r="1399" s="11" customFormat="1" x14ac:dyDescent="0.3"/>
    <row r="1400" s="11" customFormat="1" x14ac:dyDescent="0.3"/>
    <row r="1401" s="11" customFormat="1" x14ac:dyDescent="0.3"/>
    <row r="1402" s="11" customFormat="1" x14ac:dyDescent="0.3"/>
    <row r="1403" s="11" customFormat="1" x14ac:dyDescent="0.3"/>
    <row r="1404" s="11" customFormat="1" x14ac:dyDescent="0.3"/>
    <row r="1405" s="11" customFormat="1" x14ac:dyDescent="0.3"/>
    <row r="1406" s="11" customFormat="1" x14ac:dyDescent="0.3"/>
    <row r="1407" s="11" customFormat="1" x14ac:dyDescent="0.3"/>
    <row r="1408" s="11" customFormat="1" x14ac:dyDescent="0.3"/>
    <row r="1409" s="11" customFormat="1" x14ac:dyDescent="0.3"/>
    <row r="1410" s="11" customFormat="1" x14ac:dyDescent="0.3"/>
    <row r="1411" s="11" customFormat="1" x14ac:dyDescent="0.3"/>
    <row r="1412" s="11" customFormat="1" x14ac:dyDescent="0.3"/>
    <row r="1413" s="11" customFormat="1" x14ac:dyDescent="0.3"/>
    <row r="1414" s="11" customFormat="1" x14ac:dyDescent="0.3"/>
    <row r="1415" s="11" customFormat="1" x14ac:dyDescent="0.3"/>
    <row r="1416" s="11" customFormat="1" x14ac:dyDescent="0.3"/>
    <row r="1417" s="11" customFormat="1" x14ac:dyDescent="0.3"/>
    <row r="1418" s="11" customFormat="1" x14ac:dyDescent="0.3"/>
    <row r="1419" s="11" customFormat="1" x14ac:dyDescent="0.3"/>
    <row r="1420" s="11" customFormat="1" x14ac:dyDescent="0.3"/>
    <row r="1421" s="11" customFormat="1" x14ac:dyDescent="0.3"/>
    <row r="1422" s="11" customFormat="1" x14ac:dyDescent="0.3"/>
    <row r="1423" s="11" customFormat="1" x14ac:dyDescent="0.3"/>
    <row r="1424" s="11" customFormat="1" x14ac:dyDescent="0.3"/>
    <row r="1425" s="11" customFormat="1" x14ac:dyDescent="0.3"/>
    <row r="1426" s="11" customFormat="1" x14ac:dyDescent="0.3"/>
    <row r="1427" s="11" customFormat="1" x14ac:dyDescent="0.3"/>
    <row r="1428" s="11" customFormat="1" x14ac:dyDescent="0.3"/>
    <row r="1429" s="11" customFormat="1" x14ac:dyDescent="0.3"/>
    <row r="1430" s="11" customFormat="1" x14ac:dyDescent="0.3"/>
    <row r="1431" s="11" customFormat="1" x14ac:dyDescent="0.3"/>
    <row r="1432" s="11" customFormat="1" x14ac:dyDescent="0.3"/>
    <row r="1433" s="11" customFormat="1" x14ac:dyDescent="0.3"/>
    <row r="1434" s="11" customFormat="1" x14ac:dyDescent="0.3"/>
    <row r="1435" s="11" customFormat="1" x14ac:dyDescent="0.3"/>
    <row r="1436" s="11" customFormat="1" x14ac:dyDescent="0.3"/>
    <row r="1437" s="11" customFormat="1" x14ac:dyDescent="0.3"/>
    <row r="1438" s="11" customFormat="1" x14ac:dyDescent="0.3"/>
    <row r="1439" s="11" customFormat="1" x14ac:dyDescent="0.3"/>
    <row r="1440" s="11" customFormat="1" x14ac:dyDescent="0.3"/>
    <row r="1441" s="11" customFormat="1" x14ac:dyDescent="0.3"/>
    <row r="1442" s="11" customFormat="1" x14ac:dyDescent="0.3"/>
    <row r="1443" s="11" customFormat="1" x14ac:dyDescent="0.3"/>
    <row r="1444" s="11" customFormat="1" x14ac:dyDescent="0.3"/>
    <row r="1445" s="11" customFormat="1" x14ac:dyDescent="0.3"/>
    <row r="1446" s="11" customFormat="1" x14ac:dyDescent="0.3"/>
    <row r="1447" s="11" customFormat="1" x14ac:dyDescent="0.3"/>
    <row r="1448" s="11" customFormat="1" x14ac:dyDescent="0.3"/>
    <row r="1449" s="11" customFormat="1" x14ac:dyDescent="0.3"/>
    <row r="1450" s="11" customFormat="1" x14ac:dyDescent="0.3"/>
    <row r="1451" s="11" customFormat="1" x14ac:dyDescent="0.3"/>
    <row r="1452" s="11" customFormat="1" x14ac:dyDescent="0.3"/>
    <row r="1453" s="11" customFormat="1" x14ac:dyDescent="0.3"/>
    <row r="1454" s="11" customFormat="1" x14ac:dyDescent="0.3"/>
    <row r="1455" s="11" customFormat="1" x14ac:dyDescent="0.3"/>
    <row r="1456" s="11" customFormat="1" x14ac:dyDescent="0.3"/>
    <row r="1457" s="11" customFormat="1" x14ac:dyDescent="0.3"/>
    <row r="1458" s="11" customFormat="1" x14ac:dyDescent="0.3"/>
    <row r="1459" s="11" customFormat="1" x14ac:dyDescent="0.3"/>
    <row r="1460" s="11" customFormat="1" x14ac:dyDescent="0.3"/>
    <row r="1461" s="11" customFormat="1" x14ac:dyDescent="0.3"/>
    <row r="1462" s="11" customFormat="1" x14ac:dyDescent="0.3"/>
    <row r="1463" s="11" customFormat="1" x14ac:dyDescent="0.3"/>
    <row r="1464" s="11" customFormat="1" x14ac:dyDescent="0.3"/>
    <row r="1465" s="11" customFormat="1" x14ac:dyDescent="0.3"/>
    <row r="1466" s="11" customFormat="1" x14ac:dyDescent="0.3"/>
    <row r="1467" s="11" customFormat="1" x14ac:dyDescent="0.3"/>
    <row r="1468" s="11" customFormat="1" x14ac:dyDescent="0.3"/>
    <row r="1469" s="11" customFormat="1" x14ac:dyDescent="0.3"/>
    <row r="1470" s="11" customFormat="1" x14ac:dyDescent="0.3"/>
    <row r="1471" s="11" customFormat="1" x14ac:dyDescent="0.3"/>
    <row r="1472" s="11" customFormat="1" x14ac:dyDescent="0.3"/>
    <row r="1473" s="11" customFormat="1" x14ac:dyDescent="0.3"/>
    <row r="1474" s="11" customFormat="1" x14ac:dyDescent="0.3"/>
    <row r="1475" s="11" customFormat="1" x14ac:dyDescent="0.3"/>
    <row r="1476" s="11" customFormat="1" x14ac:dyDescent="0.3"/>
    <row r="1477" s="11" customFormat="1" x14ac:dyDescent="0.3"/>
    <row r="1478" s="11" customFormat="1" x14ac:dyDescent="0.3"/>
    <row r="1479" s="11" customFormat="1" x14ac:dyDescent="0.3"/>
    <row r="1480" s="11" customFormat="1" x14ac:dyDescent="0.3"/>
    <row r="1481" s="11" customFormat="1" x14ac:dyDescent="0.3"/>
    <row r="1482" s="11" customFormat="1" x14ac:dyDescent="0.3"/>
    <row r="1483" s="11" customFormat="1" x14ac:dyDescent="0.3"/>
    <row r="1484" s="11" customFormat="1" x14ac:dyDescent="0.3"/>
    <row r="1485" s="11" customFormat="1" x14ac:dyDescent="0.3"/>
    <row r="1486" s="11" customFormat="1" x14ac:dyDescent="0.3"/>
    <row r="1487" s="11" customFormat="1" x14ac:dyDescent="0.3"/>
    <row r="1488" s="11" customFormat="1" x14ac:dyDescent="0.3"/>
    <row r="1489" s="11" customFormat="1" x14ac:dyDescent="0.3"/>
    <row r="1490" s="11" customFormat="1" x14ac:dyDescent="0.3"/>
    <row r="1491" s="11" customFormat="1" x14ac:dyDescent="0.3"/>
    <row r="1492" s="11" customFormat="1" x14ac:dyDescent="0.3"/>
    <row r="1493" s="11" customFormat="1" x14ac:dyDescent="0.3"/>
    <row r="1494" s="11" customFormat="1" x14ac:dyDescent="0.3"/>
    <row r="1495" s="11" customFormat="1" x14ac:dyDescent="0.3"/>
    <row r="1496" s="11" customFormat="1" x14ac:dyDescent="0.3"/>
    <row r="1497" s="11" customFormat="1" x14ac:dyDescent="0.3"/>
    <row r="1498" s="11" customFormat="1" x14ac:dyDescent="0.3"/>
    <row r="1499" s="11" customFormat="1" x14ac:dyDescent="0.3"/>
    <row r="1500" s="11" customFormat="1" x14ac:dyDescent="0.3"/>
    <row r="1501" s="11" customFormat="1" x14ac:dyDescent="0.3"/>
    <row r="1502" s="11" customFormat="1" x14ac:dyDescent="0.3"/>
    <row r="1503" s="11" customFormat="1" x14ac:dyDescent="0.3"/>
    <row r="1504" s="11" customFormat="1" x14ac:dyDescent="0.3"/>
    <row r="1505" s="11" customFormat="1" x14ac:dyDescent="0.3"/>
    <row r="1506" s="11" customFormat="1" x14ac:dyDescent="0.3"/>
    <row r="1507" s="11" customFormat="1" x14ac:dyDescent="0.3"/>
    <row r="1508" s="11" customFormat="1" x14ac:dyDescent="0.3"/>
    <row r="1509" s="11" customFormat="1" x14ac:dyDescent="0.3"/>
    <row r="1510" s="11" customFormat="1" x14ac:dyDescent="0.3"/>
    <row r="1511" s="11" customFormat="1" x14ac:dyDescent="0.3"/>
    <row r="1512" s="11" customFormat="1" x14ac:dyDescent="0.3"/>
    <row r="1513" s="11" customFormat="1" x14ac:dyDescent="0.3"/>
    <row r="1514" s="11" customFormat="1" x14ac:dyDescent="0.3"/>
    <row r="1515" s="11" customFormat="1" x14ac:dyDescent="0.3"/>
    <row r="1516" s="11" customFormat="1" x14ac:dyDescent="0.3"/>
    <row r="1517" s="11" customFormat="1" x14ac:dyDescent="0.3"/>
    <row r="1518" s="11" customFormat="1" x14ac:dyDescent="0.3"/>
    <row r="1519" s="11" customFormat="1" x14ac:dyDescent="0.3"/>
    <row r="1520" s="11" customFormat="1" x14ac:dyDescent="0.3"/>
    <row r="1521" s="11" customFormat="1" x14ac:dyDescent="0.3"/>
    <row r="1522" s="11" customFormat="1" x14ac:dyDescent="0.3"/>
    <row r="1523" s="11" customFormat="1" x14ac:dyDescent="0.3"/>
    <row r="1524" s="11" customFormat="1" x14ac:dyDescent="0.3"/>
    <row r="1525" s="11" customFormat="1" x14ac:dyDescent="0.3"/>
    <row r="1526" s="11" customFormat="1" x14ac:dyDescent="0.3"/>
    <row r="1527" s="11" customFormat="1" x14ac:dyDescent="0.3"/>
    <row r="1528" s="11" customFormat="1" x14ac:dyDescent="0.3"/>
    <row r="1529" s="11" customFormat="1" x14ac:dyDescent="0.3"/>
    <row r="1530" s="11" customFormat="1" x14ac:dyDescent="0.3"/>
    <row r="1531" s="11" customFormat="1" x14ac:dyDescent="0.3"/>
    <row r="1532" s="11" customFormat="1" x14ac:dyDescent="0.3"/>
    <row r="1533" s="11" customFormat="1" x14ac:dyDescent="0.3"/>
    <row r="1534" s="11" customFormat="1" x14ac:dyDescent="0.3"/>
    <row r="1535" s="11" customFormat="1" x14ac:dyDescent="0.3"/>
    <row r="1536" s="11" customFormat="1" x14ac:dyDescent="0.3"/>
    <row r="1537" s="11" customFormat="1" x14ac:dyDescent="0.3"/>
    <row r="1538" s="11" customFormat="1" x14ac:dyDescent="0.3"/>
    <row r="1539" s="11" customFormat="1" x14ac:dyDescent="0.3"/>
    <row r="1540" s="11" customFormat="1" x14ac:dyDescent="0.3"/>
    <row r="1541" s="11" customFormat="1" x14ac:dyDescent="0.3"/>
    <row r="1542" s="11" customFormat="1" x14ac:dyDescent="0.3"/>
    <row r="1543" s="11" customFormat="1" x14ac:dyDescent="0.3"/>
    <row r="1544" s="11" customFormat="1" x14ac:dyDescent="0.3"/>
    <row r="1545" s="11" customFormat="1" x14ac:dyDescent="0.3"/>
    <row r="1546" s="11" customFormat="1" x14ac:dyDescent="0.3"/>
    <row r="1547" s="11" customFormat="1" x14ac:dyDescent="0.3"/>
    <row r="1548" s="11" customFormat="1" x14ac:dyDescent="0.3"/>
    <row r="1549" s="11" customFormat="1" x14ac:dyDescent="0.3"/>
    <row r="1550" s="11" customFormat="1" x14ac:dyDescent="0.3"/>
    <row r="1551" s="11" customFormat="1" x14ac:dyDescent="0.3"/>
    <row r="1552" s="11" customFormat="1" x14ac:dyDescent="0.3"/>
    <row r="1553" s="11" customFormat="1" x14ac:dyDescent="0.3"/>
    <row r="1554" s="11" customFormat="1" x14ac:dyDescent="0.3"/>
    <row r="1555" s="11" customFormat="1" x14ac:dyDescent="0.3"/>
    <row r="1556" s="11" customFormat="1" x14ac:dyDescent="0.3"/>
    <row r="1557" s="11" customFormat="1" x14ac:dyDescent="0.3"/>
    <row r="1558" s="11" customFormat="1" x14ac:dyDescent="0.3"/>
    <row r="1559" s="11" customFormat="1" x14ac:dyDescent="0.3"/>
    <row r="1560" s="11" customFormat="1" x14ac:dyDescent="0.3"/>
    <row r="1561" s="11" customFormat="1" x14ac:dyDescent="0.3"/>
    <row r="1562" s="11" customFormat="1" x14ac:dyDescent="0.3"/>
    <row r="1563" s="11" customFormat="1" x14ac:dyDescent="0.3"/>
    <row r="1564" s="11" customFormat="1" x14ac:dyDescent="0.3"/>
    <row r="1565" s="11" customFormat="1" x14ac:dyDescent="0.3"/>
    <row r="1566" s="11" customFormat="1" x14ac:dyDescent="0.3"/>
    <row r="1567" s="11" customFormat="1" x14ac:dyDescent="0.3"/>
    <row r="1568" s="11" customFormat="1" x14ac:dyDescent="0.3"/>
    <row r="1569" s="11" customFormat="1" x14ac:dyDescent="0.3"/>
    <row r="1570" s="11" customFormat="1" x14ac:dyDescent="0.3"/>
    <row r="1571" s="11" customFormat="1" x14ac:dyDescent="0.3"/>
    <row r="1572" s="11" customFormat="1" x14ac:dyDescent="0.3"/>
    <row r="1573" s="11" customFormat="1" x14ac:dyDescent="0.3"/>
    <row r="1574" s="11" customFormat="1" x14ac:dyDescent="0.3"/>
    <row r="1575" s="11" customFormat="1" x14ac:dyDescent="0.3"/>
    <row r="1576" s="11" customFormat="1" x14ac:dyDescent="0.3"/>
    <row r="1577" s="11" customFormat="1" x14ac:dyDescent="0.3"/>
    <row r="1578" s="11" customFormat="1" x14ac:dyDescent="0.3"/>
    <row r="1579" s="11" customFormat="1" x14ac:dyDescent="0.3"/>
    <row r="1580" s="11" customFormat="1" x14ac:dyDescent="0.3"/>
    <row r="1581" s="11" customFormat="1" x14ac:dyDescent="0.3"/>
    <row r="1582" s="11" customFormat="1" x14ac:dyDescent="0.3"/>
    <row r="1583" s="11" customFormat="1" x14ac:dyDescent="0.3"/>
    <row r="1584" s="11" customFormat="1" x14ac:dyDescent="0.3"/>
    <row r="1585" s="11" customFormat="1" x14ac:dyDescent="0.3"/>
    <row r="1586" s="11" customFormat="1" x14ac:dyDescent="0.3"/>
    <row r="1587" s="11" customFormat="1" x14ac:dyDescent="0.3"/>
    <row r="1588" s="11" customFormat="1" x14ac:dyDescent="0.3"/>
    <row r="1589" s="11" customFormat="1" x14ac:dyDescent="0.3"/>
    <row r="1590" s="11" customFormat="1" x14ac:dyDescent="0.3"/>
    <row r="1591" s="11" customFormat="1" x14ac:dyDescent="0.3"/>
    <row r="1592" s="11" customFormat="1" x14ac:dyDescent="0.3"/>
    <row r="1593" s="11" customFormat="1" x14ac:dyDescent="0.3"/>
    <row r="1594" s="11" customFormat="1" x14ac:dyDescent="0.3"/>
    <row r="1595" s="11" customFormat="1" x14ac:dyDescent="0.3"/>
    <row r="1596" s="11" customFormat="1" x14ac:dyDescent="0.3"/>
    <row r="1597" s="11" customFormat="1" x14ac:dyDescent="0.3"/>
    <row r="1598" s="11" customFormat="1" x14ac:dyDescent="0.3"/>
    <row r="1599" s="11" customFormat="1" x14ac:dyDescent="0.3"/>
    <row r="1600" s="11" customFormat="1" x14ac:dyDescent="0.3"/>
    <row r="1601" s="11" customFormat="1" x14ac:dyDescent="0.3"/>
    <row r="1602" s="11" customFormat="1" x14ac:dyDescent="0.3"/>
    <row r="1603" s="11" customFormat="1" x14ac:dyDescent="0.3"/>
    <row r="1604" s="11" customFormat="1" x14ac:dyDescent="0.3"/>
    <row r="1605" s="11" customFormat="1" x14ac:dyDescent="0.3"/>
    <row r="1606" s="11" customFormat="1" x14ac:dyDescent="0.3"/>
    <row r="1607" s="11" customFormat="1" x14ac:dyDescent="0.3"/>
    <row r="1608" s="11" customFormat="1" x14ac:dyDescent="0.3"/>
    <row r="1609" s="11" customFormat="1" x14ac:dyDescent="0.3"/>
    <row r="1610" s="11" customFormat="1" x14ac:dyDescent="0.3"/>
    <row r="1611" s="11" customFormat="1" x14ac:dyDescent="0.3"/>
    <row r="1612" s="11" customFormat="1" x14ac:dyDescent="0.3"/>
    <row r="1613" s="11" customFormat="1" x14ac:dyDescent="0.3"/>
    <row r="1614" s="11" customFormat="1" x14ac:dyDescent="0.3"/>
    <row r="1615" s="11" customFormat="1" x14ac:dyDescent="0.3"/>
    <row r="1616" s="11" customFormat="1" x14ac:dyDescent="0.3"/>
    <row r="1617" s="11" customFormat="1" x14ac:dyDescent="0.3"/>
    <row r="1618" s="11" customFormat="1" x14ac:dyDescent="0.3"/>
    <row r="1619" s="11" customFormat="1" x14ac:dyDescent="0.3"/>
    <row r="1620" s="11" customFormat="1" x14ac:dyDescent="0.3"/>
    <row r="1621" s="11" customFormat="1" x14ac:dyDescent="0.3"/>
    <row r="1622" s="11" customFormat="1" x14ac:dyDescent="0.3"/>
    <row r="1623" s="11" customFormat="1" x14ac:dyDescent="0.3"/>
    <row r="1624" s="11" customFormat="1" x14ac:dyDescent="0.3"/>
    <row r="1625" s="11" customFormat="1" x14ac:dyDescent="0.3"/>
    <row r="1626" s="11" customFormat="1" x14ac:dyDescent="0.3"/>
    <row r="1627" s="11" customFormat="1" x14ac:dyDescent="0.3"/>
    <row r="1628" s="11" customFormat="1" x14ac:dyDescent="0.3"/>
    <row r="1629" s="11" customFormat="1" x14ac:dyDescent="0.3"/>
    <row r="1630" s="11" customFormat="1" x14ac:dyDescent="0.3"/>
    <row r="1631" s="11" customFormat="1" x14ac:dyDescent="0.3"/>
    <row r="1632" s="11" customFormat="1" x14ac:dyDescent="0.3"/>
    <row r="1633" s="11" customFormat="1" x14ac:dyDescent="0.3"/>
    <row r="1634" s="11" customFormat="1" x14ac:dyDescent="0.3"/>
    <row r="1635" s="11" customFormat="1" x14ac:dyDescent="0.3"/>
    <row r="1636" s="11" customFormat="1" x14ac:dyDescent="0.3"/>
    <row r="1637" s="11" customFormat="1" x14ac:dyDescent="0.3"/>
    <row r="1638" s="11" customFormat="1" x14ac:dyDescent="0.3"/>
    <row r="1639" s="11" customFormat="1" x14ac:dyDescent="0.3"/>
    <row r="1640" s="11" customFormat="1" x14ac:dyDescent="0.3"/>
    <row r="1641" s="11" customFormat="1" x14ac:dyDescent="0.3"/>
    <row r="1642" s="11" customFormat="1" x14ac:dyDescent="0.3"/>
    <row r="1643" s="11" customFormat="1" x14ac:dyDescent="0.3"/>
    <row r="1644" s="11" customFormat="1" x14ac:dyDescent="0.3"/>
    <row r="1645" s="11" customFormat="1" x14ac:dyDescent="0.3"/>
    <row r="1646" s="11" customFormat="1" x14ac:dyDescent="0.3"/>
    <row r="1647" s="11" customFormat="1" x14ac:dyDescent="0.3"/>
    <row r="1648" s="11" customFormat="1" x14ac:dyDescent="0.3"/>
    <row r="1649" s="11" customFormat="1" x14ac:dyDescent="0.3"/>
    <row r="1650" s="11" customFormat="1" x14ac:dyDescent="0.3"/>
    <row r="1651" s="11" customFormat="1" x14ac:dyDescent="0.3"/>
    <row r="1652" s="11" customFormat="1" x14ac:dyDescent="0.3"/>
    <row r="1653" s="11" customFormat="1" x14ac:dyDescent="0.3"/>
    <row r="1654" s="11" customFormat="1" x14ac:dyDescent="0.3"/>
    <row r="1655" s="11" customFormat="1" x14ac:dyDescent="0.3"/>
    <row r="1656" s="11" customFormat="1" x14ac:dyDescent="0.3"/>
    <row r="1657" s="11" customFormat="1" x14ac:dyDescent="0.3"/>
    <row r="1658" s="11" customFormat="1" x14ac:dyDescent="0.3"/>
    <row r="1659" s="11" customFormat="1" x14ac:dyDescent="0.3"/>
    <row r="1660" s="11" customFormat="1" x14ac:dyDescent="0.3"/>
    <row r="1661" s="11" customFormat="1" x14ac:dyDescent="0.3"/>
    <row r="1662" s="11" customFormat="1" x14ac:dyDescent="0.3"/>
    <row r="1663" s="11" customFormat="1" x14ac:dyDescent="0.3"/>
    <row r="1664" s="11" customFormat="1" x14ac:dyDescent="0.3"/>
    <row r="1665" s="11" customFormat="1" x14ac:dyDescent="0.3"/>
    <row r="1666" s="11" customFormat="1" x14ac:dyDescent="0.3"/>
    <row r="1667" s="11" customFormat="1" x14ac:dyDescent="0.3"/>
    <row r="1668" s="11" customFormat="1" x14ac:dyDescent="0.3"/>
    <row r="1669" s="11" customFormat="1" x14ac:dyDescent="0.3"/>
    <row r="1670" s="11" customFormat="1" x14ac:dyDescent="0.3"/>
    <row r="1671" s="11" customFormat="1" x14ac:dyDescent="0.3"/>
    <row r="1672" s="11" customFormat="1" x14ac:dyDescent="0.3"/>
    <row r="1673" s="11" customFormat="1" x14ac:dyDescent="0.3"/>
    <row r="1674" s="11" customFormat="1" x14ac:dyDescent="0.3"/>
    <row r="1675" s="11" customFormat="1" x14ac:dyDescent="0.3"/>
    <row r="1676" s="11" customFormat="1" x14ac:dyDescent="0.3"/>
    <row r="1677" s="11" customFormat="1" x14ac:dyDescent="0.3"/>
    <row r="1678" s="11" customFormat="1" x14ac:dyDescent="0.3"/>
    <row r="1679" s="11" customFormat="1" x14ac:dyDescent="0.3"/>
    <row r="1680" s="11" customFormat="1" x14ac:dyDescent="0.3"/>
    <row r="1681" s="11" customFormat="1" x14ac:dyDescent="0.3"/>
    <row r="1682" s="11" customFormat="1" x14ac:dyDescent="0.3"/>
    <row r="1683" s="11" customFormat="1" x14ac:dyDescent="0.3"/>
    <row r="1684" s="11" customFormat="1" x14ac:dyDescent="0.3"/>
    <row r="1685" s="11" customFormat="1" x14ac:dyDescent="0.3"/>
    <row r="1686" s="11" customFormat="1" x14ac:dyDescent="0.3"/>
    <row r="1687" s="11" customFormat="1" x14ac:dyDescent="0.3"/>
    <row r="1688" s="11" customFormat="1" x14ac:dyDescent="0.3"/>
    <row r="1689" s="11" customFormat="1" x14ac:dyDescent="0.3"/>
    <row r="1690" s="11" customFormat="1" x14ac:dyDescent="0.3"/>
    <row r="1691" s="11" customFormat="1" x14ac:dyDescent="0.3"/>
    <row r="1692" s="11" customFormat="1" x14ac:dyDescent="0.3"/>
    <row r="1693" s="11" customFormat="1" x14ac:dyDescent="0.3"/>
    <row r="1694" s="11" customFormat="1" x14ac:dyDescent="0.3"/>
    <row r="1695" s="11" customFormat="1" x14ac:dyDescent="0.3"/>
    <row r="1696" s="11" customFormat="1" x14ac:dyDescent="0.3"/>
    <row r="1697" s="11" customFormat="1" x14ac:dyDescent="0.3"/>
    <row r="1698" s="11" customFormat="1" x14ac:dyDescent="0.3"/>
    <row r="1699" s="11" customFormat="1" x14ac:dyDescent="0.3"/>
    <row r="1700" s="11" customFormat="1" x14ac:dyDescent="0.3"/>
    <row r="1701" s="11" customFormat="1" x14ac:dyDescent="0.3"/>
    <row r="1702" s="11" customFormat="1" x14ac:dyDescent="0.3"/>
    <row r="1703" s="11" customFormat="1" x14ac:dyDescent="0.3"/>
    <row r="1704" s="11" customFormat="1" x14ac:dyDescent="0.3"/>
    <row r="1705" s="11" customFormat="1" x14ac:dyDescent="0.3"/>
    <row r="1706" s="11" customFormat="1" x14ac:dyDescent="0.3"/>
    <row r="1707" s="11" customFormat="1" x14ac:dyDescent="0.3"/>
    <row r="1708" s="11" customFormat="1" x14ac:dyDescent="0.3"/>
    <row r="1709" s="11" customFormat="1" x14ac:dyDescent="0.3"/>
    <row r="1710" s="11" customFormat="1" x14ac:dyDescent="0.3"/>
    <row r="1711" s="11" customFormat="1" x14ac:dyDescent="0.3"/>
    <row r="1712" s="11" customFormat="1" x14ac:dyDescent="0.3"/>
    <row r="1713" s="11" customFormat="1" x14ac:dyDescent="0.3"/>
    <row r="1714" s="11" customFormat="1" x14ac:dyDescent="0.3"/>
    <row r="1715" s="11" customFormat="1" x14ac:dyDescent="0.3"/>
    <row r="1716" s="11" customFormat="1" x14ac:dyDescent="0.3"/>
    <row r="1717" s="11" customFormat="1" x14ac:dyDescent="0.3"/>
    <row r="1718" s="11" customFormat="1" x14ac:dyDescent="0.3"/>
    <row r="1719" s="11" customFormat="1" x14ac:dyDescent="0.3"/>
    <row r="1720" s="11" customFormat="1" x14ac:dyDescent="0.3"/>
    <row r="1721" s="11" customFormat="1" x14ac:dyDescent="0.3"/>
    <row r="1722" s="11" customFormat="1" x14ac:dyDescent="0.3"/>
    <row r="1723" s="11" customFormat="1" x14ac:dyDescent="0.3"/>
    <row r="1724" s="11" customFormat="1" x14ac:dyDescent="0.3"/>
    <row r="1725" s="11" customFormat="1" x14ac:dyDescent="0.3"/>
    <row r="1726" s="11" customFormat="1" x14ac:dyDescent="0.3"/>
    <row r="1727" s="11" customFormat="1" x14ac:dyDescent="0.3"/>
    <row r="1728" s="11" customFormat="1" x14ac:dyDescent="0.3"/>
    <row r="1729" s="11" customFormat="1" x14ac:dyDescent="0.3"/>
    <row r="1730" s="11" customFormat="1" x14ac:dyDescent="0.3"/>
    <row r="1731" s="11" customFormat="1" x14ac:dyDescent="0.3"/>
    <row r="1732" s="11" customFormat="1" x14ac:dyDescent="0.3"/>
    <row r="1733" s="11" customFormat="1" x14ac:dyDescent="0.3"/>
    <row r="1734" s="11" customFormat="1" x14ac:dyDescent="0.3"/>
    <row r="1735" s="11" customFormat="1" x14ac:dyDescent="0.3"/>
    <row r="1736" s="11" customFormat="1" x14ac:dyDescent="0.3"/>
    <row r="1737" s="11" customFormat="1" x14ac:dyDescent="0.3"/>
    <row r="1738" s="11" customFormat="1" x14ac:dyDescent="0.3"/>
    <row r="1739" s="11" customFormat="1" x14ac:dyDescent="0.3"/>
    <row r="1740" s="11" customFormat="1" x14ac:dyDescent="0.3"/>
    <row r="1741" s="11" customFormat="1" x14ac:dyDescent="0.3"/>
    <row r="1742" s="11" customFormat="1" x14ac:dyDescent="0.3"/>
    <row r="1743" s="11" customFormat="1" x14ac:dyDescent="0.3"/>
    <row r="1744" s="11" customFormat="1" x14ac:dyDescent="0.3"/>
    <row r="1745" s="11" customFormat="1" x14ac:dyDescent="0.3"/>
    <row r="1746" s="11" customFormat="1" x14ac:dyDescent="0.3"/>
    <row r="1747" s="11" customFormat="1" x14ac:dyDescent="0.3"/>
    <row r="1748" s="11" customFormat="1" x14ac:dyDescent="0.3"/>
    <row r="1749" s="11" customFormat="1" x14ac:dyDescent="0.3"/>
    <row r="1750" s="11" customFormat="1" x14ac:dyDescent="0.3"/>
    <row r="1751" s="11" customFormat="1" x14ac:dyDescent="0.3"/>
    <row r="1752" s="11" customFormat="1" x14ac:dyDescent="0.3"/>
    <row r="1753" s="11" customFormat="1" x14ac:dyDescent="0.3"/>
    <row r="1754" s="11" customFormat="1" x14ac:dyDescent="0.3"/>
    <row r="1755" s="11" customFormat="1" x14ac:dyDescent="0.3"/>
    <row r="1756" s="11" customFormat="1" x14ac:dyDescent="0.3"/>
    <row r="1757" s="11" customFormat="1" x14ac:dyDescent="0.3"/>
    <row r="1758" s="11" customFormat="1" x14ac:dyDescent="0.3"/>
    <row r="1759" s="11" customFormat="1" x14ac:dyDescent="0.3"/>
    <row r="1760" s="11" customFormat="1" x14ac:dyDescent="0.3"/>
    <row r="1761" s="11" customFormat="1" x14ac:dyDescent="0.3"/>
    <row r="1762" s="11" customFormat="1" x14ac:dyDescent="0.3"/>
    <row r="1763" s="11" customFormat="1" x14ac:dyDescent="0.3"/>
    <row r="1764" s="11" customFormat="1" x14ac:dyDescent="0.3"/>
    <row r="1765" s="11" customFormat="1" x14ac:dyDescent="0.3"/>
    <row r="1766" s="11" customFormat="1" x14ac:dyDescent="0.3"/>
    <row r="1767" s="11" customFormat="1" x14ac:dyDescent="0.3"/>
    <row r="1768" s="11" customFormat="1" x14ac:dyDescent="0.3"/>
    <row r="1769" s="11" customFormat="1" x14ac:dyDescent="0.3"/>
    <row r="1770" s="11" customFormat="1" x14ac:dyDescent="0.3"/>
    <row r="1771" s="11" customFormat="1" x14ac:dyDescent="0.3"/>
    <row r="1772" s="11" customFormat="1" x14ac:dyDescent="0.3"/>
    <row r="1773" s="11" customFormat="1" x14ac:dyDescent="0.3"/>
    <row r="1774" s="11" customFormat="1" x14ac:dyDescent="0.3"/>
    <row r="1775" s="11" customFormat="1" x14ac:dyDescent="0.3"/>
    <row r="1776" s="11" customFormat="1" x14ac:dyDescent="0.3"/>
    <row r="1777" s="11" customFormat="1" x14ac:dyDescent="0.3"/>
    <row r="1778" s="11" customFormat="1" x14ac:dyDescent="0.3"/>
    <row r="1779" s="11" customFormat="1" x14ac:dyDescent="0.3"/>
    <row r="1780" s="11" customFormat="1" x14ac:dyDescent="0.3"/>
    <row r="1781" s="11" customFormat="1" x14ac:dyDescent="0.3"/>
    <row r="1782" s="11" customFormat="1" x14ac:dyDescent="0.3"/>
    <row r="1783" s="11" customFormat="1" x14ac:dyDescent="0.3"/>
    <row r="1784" s="11" customFormat="1" x14ac:dyDescent="0.3"/>
    <row r="1785" s="11" customFormat="1" x14ac:dyDescent="0.3"/>
    <row r="1786" s="11" customFormat="1" x14ac:dyDescent="0.3"/>
    <row r="1787" s="11" customFormat="1" x14ac:dyDescent="0.3"/>
    <row r="1788" s="11" customFormat="1" x14ac:dyDescent="0.3"/>
    <row r="1789" s="11" customFormat="1" x14ac:dyDescent="0.3"/>
    <row r="1790" s="11" customFormat="1" x14ac:dyDescent="0.3"/>
    <row r="1791" s="11" customFormat="1" x14ac:dyDescent="0.3"/>
    <row r="1792" s="11" customFormat="1" x14ac:dyDescent="0.3"/>
    <row r="1793" s="11" customFormat="1" x14ac:dyDescent="0.3"/>
    <row r="1794" s="11" customFormat="1" x14ac:dyDescent="0.3"/>
    <row r="1795" s="11" customFormat="1" x14ac:dyDescent="0.3"/>
    <row r="1796" s="11" customFormat="1" x14ac:dyDescent="0.3"/>
    <row r="1797" s="11" customFormat="1" x14ac:dyDescent="0.3"/>
    <row r="1798" s="11" customFormat="1" x14ac:dyDescent="0.3"/>
    <row r="1799" s="11" customFormat="1" x14ac:dyDescent="0.3"/>
    <row r="1800" s="11" customFormat="1" x14ac:dyDescent="0.3"/>
    <row r="1801" s="11" customFormat="1" x14ac:dyDescent="0.3"/>
    <row r="1802" s="11" customFormat="1" x14ac:dyDescent="0.3"/>
    <row r="1803" s="11" customFormat="1" x14ac:dyDescent="0.3"/>
    <row r="1804" s="11" customFormat="1" x14ac:dyDescent="0.3"/>
    <row r="1805" s="11" customFormat="1" x14ac:dyDescent="0.3"/>
    <row r="1806" s="11" customFormat="1" x14ac:dyDescent="0.3"/>
    <row r="1807" s="11" customFormat="1" x14ac:dyDescent="0.3"/>
    <row r="1808" s="11" customFormat="1" x14ac:dyDescent="0.3"/>
    <row r="1809" s="11" customFormat="1" x14ac:dyDescent="0.3"/>
    <row r="1810" s="11" customFormat="1" x14ac:dyDescent="0.3"/>
    <row r="1811" s="11" customFormat="1" x14ac:dyDescent="0.3"/>
    <row r="1812" s="11" customFormat="1" x14ac:dyDescent="0.3"/>
    <row r="1813" s="11" customFormat="1" x14ac:dyDescent="0.3"/>
    <row r="1814" s="11" customFormat="1" x14ac:dyDescent="0.3"/>
    <row r="1815" s="11" customFormat="1" x14ac:dyDescent="0.3"/>
    <row r="1816" s="11" customFormat="1" x14ac:dyDescent="0.3"/>
    <row r="1817" s="11" customFormat="1" x14ac:dyDescent="0.3"/>
    <row r="1818" s="11" customFormat="1" x14ac:dyDescent="0.3"/>
    <row r="1819" s="11" customFormat="1" x14ac:dyDescent="0.3"/>
    <row r="1820" s="11" customFormat="1" x14ac:dyDescent="0.3"/>
    <row r="1821" s="11" customFormat="1" x14ac:dyDescent="0.3"/>
    <row r="1822" s="11" customFormat="1" x14ac:dyDescent="0.3"/>
    <row r="1823" s="11" customFormat="1" x14ac:dyDescent="0.3"/>
    <row r="1824" s="11" customFormat="1" x14ac:dyDescent="0.3"/>
    <row r="1825" s="11" customFormat="1" x14ac:dyDescent="0.3"/>
    <row r="1826" s="11" customFormat="1" x14ac:dyDescent="0.3"/>
    <row r="1827" s="11" customFormat="1" x14ac:dyDescent="0.3"/>
    <row r="1828" s="11" customFormat="1" x14ac:dyDescent="0.3"/>
    <row r="1829" s="11" customFormat="1" x14ac:dyDescent="0.3"/>
    <row r="1830" s="11" customFormat="1" x14ac:dyDescent="0.3"/>
    <row r="1831" s="11" customFormat="1" x14ac:dyDescent="0.3"/>
    <row r="1832" s="11" customFormat="1" x14ac:dyDescent="0.3"/>
    <row r="1833" s="11" customFormat="1" x14ac:dyDescent="0.3"/>
    <row r="1834" s="11" customFormat="1" x14ac:dyDescent="0.3"/>
    <row r="1835" s="11" customFormat="1" x14ac:dyDescent="0.3"/>
    <row r="1836" s="11" customFormat="1" x14ac:dyDescent="0.3"/>
    <row r="1837" s="11" customFormat="1" x14ac:dyDescent="0.3"/>
    <row r="1838" s="11" customFormat="1" x14ac:dyDescent="0.3"/>
    <row r="1839" s="11" customFormat="1" x14ac:dyDescent="0.3"/>
    <row r="1840" s="11" customFormat="1" x14ac:dyDescent="0.3"/>
    <row r="1841" s="11" customFormat="1" x14ac:dyDescent="0.3"/>
    <row r="1842" s="11" customFormat="1" x14ac:dyDescent="0.3"/>
    <row r="1843" s="11" customFormat="1" x14ac:dyDescent="0.3"/>
    <row r="1844" s="11" customFormat="1" x14ac:dyDescent="0.3"/>
    <row r="1845" s="11" customFormat="1" x14ac:dyDescent="0.3"/>
    <row r="1846" s="11" customFormat="1" x14ac:dyDescent="0.3"/>
    <row r="1847" s="11" customFormat="1" x14ac:dyDescent="0.3"/>
    <row r="1848" s="11" customFormat="1" x14ac:dyDescent="0.3"/>
    <row r="1849" s="11" customFormat="1" x14ac:dyDescent="0.3"/>
    <row r="1850" s="11" customFormat="1" x14ac:dyDescent="0.3"/>
    <row r="1851" s="11" customFormat="1" x14ac:dyDescent="0.3"/>
    <row r="1852" s="11" customFormat="1" x14ac:dyDescent="0.3"/>
    <row r="1853" s="11" customFormat="1" x14ac:dyDescent="0.3"/>
    <row r="1854" s="11" customFormat="1" x14ac:dyDescent="0.3"/>
    <row r="1855" s="11" customFormat="1" x14ac:dyDescent="0.3"/>
    <row r="1856" s="11" customFormat="1" x14ac:dyDescent="0.3"/>
    <row r="1857" s="11" customFormat="1" x14ac:dyDescent="0.3"/>
    <row r="1858" s="11" customFormat="1" x14ac:dyDescent="0.3"/>
    <row r="1859" s="11" customFormat="1" x14ac:dyDescent="0.3"/>
    <row r="1860" s="11" customFormat="1" x14ac:dyDescent="0.3"/>
    <row r="1861" s="11" customFormat="1" x14ac:dyDescent="0.3"/>
    <row r="1862" s="11" customFormat="1" x14ac:dyDescent="0.3"/>
    <row r="1863" s="11" customFormat="1" x14ac:dyDescent="0.3"/>
    <row r="1864" s="11" customFormat="1" x14ac:dyDescent="0.3"/>
    <row r="1865" s="11" customFormat="1" x14ac:dyDescent="0.3"/>
    <row r="1866" s="11" customFormat="1" x14ac:dyDescent="0.3"/>
    <row r="1867" s="11" customFormat="1" x14ac:dyDescent="0.3"/>
    <row r="1868" s="11" customFormat="1" x14ac:dyDescent="0.3"/>
    <row r="1869" s="11" customFormat="1" x14ac:dyDescent="0.3"/>
    <row r="1870" s="11" customFormat="1" x14ac:dyDescent="0.3"/>
    <row r="1871" s="11" customFormat="1" x14ac:dyDescent="0.3"/>
    <row r="1872" s="11" customFormat="1" x14ac:dyDescent="0.3"/>
    <row r="1873" s="11" customFormat="1" x14ac:dyDescent="0.3"/>
    <row r="1874" s="11" customFormat="1" x14ac:dyDescent="0.3"/>
    <row r="1875" s="11" customFormat="1" x14ac:dyDescent="0.3"/>
    <row r="1876" s="11" customFormat="1" x14ac:dyDescent="0.3"/>
    <row r="1877" s="11" customFormat="1" x14ac:dyDescent="0.3"/>
    <row r="1878" s="11" customFormat="1" x14ac:dyDescent="0.3"/>
    <row r="1879" s="11" customFormat="1" x14ac:dyDescent="0.3"/>
    <row r="1880" s="11" customFormat="1" x14ac:dyDescent="0.3"/>
    <row r="1881" s="11" customFormat="1" x14ac:dyDescent="0.3"/>
    <row r="1882" s="11" customFormat="1" x14ac:dyDescent="0.3"/>
    <row r="1883" s="11" customFormat="1" x14ac:dyDescent="0.3"/>
    <row r="1884" s="11" customFormat="1" x14ac:dyDescent="0.3"/>
    <row r="1885" s="11" customFormat="1" x14ac:dyDescent="0.3"/>
    <row r="1886" s="11" customFormat="1" x14ac:dyDescent="0.3"/>
    <row r="1887" s="11" customFormat="1" x14ac:dyDescent="0.3"/>
    <row r="1888" s="11" customFormat="1" x14ac:dyDescent="0.3"/>
    <row r="1889" s="11" customFormat="1" x14ac:dyDescent="0.3"/>
    <row r="1890" s="11" customFormat="1" x14ac:dyDescent="0.3"/>
    <row r="1891" s="11" customFormat="1" x14ac:dyDescent="0.3"/>
    <row r="1892" s="11" customFormat="1" x14ac:dyDescent="0.3"/>
    <row r="1893" s="11" customFormat="1" x14ac:dyDescent="0.3"/>
    <row r="1894" s="11" customFormat="1" x14ac:dyDescent="0.3"/>
    <row r="1895" s="11" customFormat="1" x14ac:dyDescent="0.3"/>
    <row r="1896" s="11" customFormat="1" x14ac:dyDescent="0.3"/>
    <row r="1897" s="11" customFormat="1" x14ac:dyDescent="0.3"/>
    <row r="1898" s="11" customFormat="1" x14ac:dyDescent="0.3"/>
    <row r="1899" s="11" customFormat="1" x14ac:dyDescent="0.3"/>
    <row r="1900" s="11" customFormat="1" x14ac:dyDescent="0.3"/>
    <row r="1901" s="11" customFormat="1" x14ac:dyDescent="0.3"/>
    <row r="1902" s="11" customFormat="1" x14ac:dyDescent="0.3"/>
    <row r="1903" s="11" customFormat="1" x14ac:dyDescent="0.3"/>
    <row r="1904" s="11" customFormat="1" x14ac:dyDescent="0.3"/>
    <row r="1905" s="11" customFormat="1" x14ac:dyDescent="0.3"/>
    <row r="1906" s="11" customFormat="1" x14ac:dyDescent="0.3"/>
    <row r="1907" s="11" customFormat="1" x14ac:dyDescent="0.3"/>
    <row r="1908" s="11" customFormat="1" x14ac:dyDescent="0.3"/>
    <row r="1909" s="11" customFormat="1" x14ac:dyDescent="0.3"/>
    <row r="1910" s="11" customFormat="1" x14ac:dyDescent="0.3"/>
    <row r="1911" s="11" customFormat="1" x14ac:dyDescent="0.3"/>
    <row r="1912" s="11" customFormat="1" x14ac:dyDescent="0.3"/>
    <row r="1913" s="11" customFormat="1" x14ac:dyDescent="0.3"/>
    <row r="1914" s="11" customFormat="1" x14ac:dyDescent="0.3"/>
    <row r="1915" s="11" customFormat="1" x14ac:dyDescent="0.3"/>
    <row r="1916" s="11" customFormat="1" x14ac:dyDescent="0.3"/>
    <row r="1917" s="11" customFormat="1" x14ac:dyDescent="0.3"/>
    <row r="1918" s="11" customFormat="1" x14ac:dyDescent="0.3"/>
    <row r="1919" s="11" customFormat="1" x14ac:dyDescent="0.3"/>
    <row r="1920" s="11" customFormat="1" x14ac:dyDescent="0.3"/>
    <row r="1921" s="11" customFormat="1" x14ac:dyDescent="0.3"/>
    <row r="1922" s="11" customFormat="1" x14ac:dyDescent="0.3"/>
    <row r="1923" s="11" customFormat="1" x14ac:dyDescent="0.3"/>
    <row r="1924" s="11" customFormat="1" x14ac:dyDescent="0.3"/>
    <row r="1925" s="11" customFormat="1" x14ac:dyDescent="0.3"/>
    <row r="1926" s="11" customFormat="1" x14ac:dyDescent="0.3"/>
    <row r="1927" s="11" customFormat="1" x14ac:dyDescent="0.3"/>
    <row r="1928" s="11" customFormat="1" x14ac:dyDescent="0.3"/>
    <row r="1929" s="11" customFormat="1" x14ac:dyDescent="0.3"/>
    <row r="1930" s="11" customFormat="1" x14ac:dyDescent="0.3"/>
    <row r="1931" s="11" customFormat="1" x14ac:dyDescent="0.3"/>
    <row r="1932" s="11" customFormat="1" x14ac:dyDescent="0.3"/>
    <row r="1933" s="11" customFormat="1" x14ac:dyDescent="0.3"/>
    <row r="1934" s="11" customFormat="1" x14ac:dyDescent="0.3"/>
    <row r="1935" s="11" customFormat="1" x14ac:dyDescent="0.3"/>
    <row r="1936" s="11" customFormat="1" x14ac:dyDescent="0.3"/>
    <row r="1937" s="11" customFormat="1" x14ac:dyDescent="0.3"/>
    <row r="1938" s="11" customFormat="1" x14ac:dyDescent="0.3"/>
    <row r="1939" s="11" customFormat="1" x14ac:dyDescent="0.3"/>
    <row r="1940" s="11" customFormat="1" x14ac:dyDescent="0.3"/>
    <row r="1941" s="11" customFormat="1" x14ac:dyDescent="0.3"/>
    <row r="1942" s="11" customFormat="1" x14ac:dyDescent="0.3"/>
    <row r="1943" s="11" customFormat="1" x14ac:dyDescent="0.3"/>
    <row r="1944" s="11" customFormat="1" x14ac:dyDescent="0.3"/>
    <row r="1945" s="11" customFormat="1" x14ac:dyDescent="0.3"/>
    <row r="1946" s="11" customFormat="1" x14ac:dyDescent="0.3"/>
    <row r="1947" s="11" customFormat="1" x14ac:dyDescent="0.3"/>
    <row r="1948" s="11" customFormat="1" x14ac:dyDescent="0.3"/>
    <row r="1949" s="11" customFormat="1" x14ac:dyDescent="0.3"/>
    <row r="1950" s="11" customFormat="1" x14ac:dyDescent="0.3"/>
    <row r="1951" s="11" customFormat="1" x14ac:dyDescent="0.3"/>
    <row r="1952" s="11" customFormat="1" x14ac:dyDescent="0.3"/>
    <row r="1953" s="11" customFormat="1" x14ac:dyDescent="0.3"/>
    <row r="1954" s="11" customFormat="1" x14ac:dyDescent="0.3"/>
    <row r="1955" s="11" customFormat="1" x14ac:dyDescent="0.3"/>
    <row r="1956" s="11" customFormat="1" x14ac:dyDescent="0.3"/>
    <row r="1957" s="11" customFormat="1" x14ac:dyDescent="0.3"/>
    <row r="1958" s="11" customFormat="1" x14ac:dyDescent="0.3"/>
    <row r="1959" s="11" customFormat="1" x14ac:dyDescent="0.3"/>
    <row r="1960" s="11" customFormat="1" x14ac:dyDescent="0.3"/>
    <row r="1961" s="11" customFormat="1" x14ac:dyDescent="0.3"/>
    <row r="1962" s="11" customFormat="1" x14ac:dyDescent="0.3"/>
    <row r="1963" s="11" customFormat="1" x14ac:dyDescent="0.3"/>
    <row r="1964" s="11" customFormat="1" x14ac:dyDescent="0.3"/>
    <row r="1965" s="11" customFormat="1" x14ac:dyDescent="0.3"/>
    <row r="1966" s="11" customFormat="1" x14ac:dyDescent="0.3"/>
    <row r="1967" s="11" customFormat="1" x14ac:dyDescent="0.3"/>
    <row r="1968" s="11" customFormat="1" x14ac:dyDescent="0.3"/>
    <row r="1969" s="11" customFormat="1" x14ac:dyDescent="0.3"/>
    <row r="1970" s="11" customFormat="1" x14ac:dyDescent="0.3"/>
    <row r="1971" s="11" customFormat="1" x14ac:dyDescent="0.3"/>
    <row r="1972" s="11" customFormat="1" x14ac:dyDescent="0.3"/>
    <row r="1973" s="11" customFormat="1" x14ac:dyDescent="0.3"/>
    <row r="1974" s="11" customFormat="1" x14ac:dyDescent="0.3"/>
    <row r="1975" s="11" customFormat="1" x14ac:dyDescent="0.3"/>
    <row r="1976" s="11" customFormat="1" x14ac:dyDescent="0.3"/>
    <row r="1977" s="11" customFormat="1" x14ac:dyDescent="0.3"/>
    <row r="1978" s="11" customFormat="1" x14ac:dyDescent="0.3"/>
    <row r="1979" s="11" customFormat="1" x14ac:dyDescent="0.3"/>
    <row r="1980" s="11" customFormat="1" x14ac:dyDescent="0.3"/>
    <row r="1981" s="11" customFormat="1" x14ac:dyDescent="0.3"/>
    <row r="1982" s="11" customFormat="1" x14ac:dyDescent="0.3"/>
    <row r="1983" s="11" customFormat="1" x14ac:dyDescent="0.3"/>
    <row r="1984" s="11" customFormat="1" x14ac:dyDescent="0.3"/>
    <row r="1985" s="11" customFormat="1" x14ac:dyDescent="0.3"/>
    <row r="1986" s="11" customFormat="1" x14ac:dyDescent="0.3"/>
    <row r="1987" s="11" customFormat="1" x14ac:dyDescent="0.3"/>
    <row r="1988" s="11" customFormat="1" x14ac:dyDescent="0.3"/>
    <row r="1989" s="11" customFormat="1" x14ac:dyDescent="0.3"/>
    <row r="1990" s="11" customFormat="1" x14ac:dyDescent="0.3"/>
    <row r="1991" s="11" customFormat="1" x14ac:dyDescent="0.3"/>
    <row r="1992" s="11" customFormat="1" x14ac:dyDescent="0.3"/>
    <row r="1993" s="11" customFormat="1" x14ac:dyDescent="0.3"/>
    <row r="1994" s="11" customFormat="1" x14ac:dyDescent="0.3"/>
    <row r="1995" s="11" customFormat="1" x14ac:dyDescent="0.3"/>
    <row r="1996" s="11" customFormat="1" x14ac:dyDescent="0.3"/>
    <row r="1997" s="11" customFormat="1" x14ac:dyDescent="0.3"/>
    <row r="1998" s="11" customFormat="1" x14ac:dyDescent="0.3"/>
    <row r="1999" s="11" customFormat="1" x14ac:dyDescent="0.3"/>
    <row r="2000" s="11" customFormat="1" x14ac:dyDescent="0.3"/>
    <row r="2001" s="11" customFormat="1" x14ac:dyDescent="0.3"/>
    <row r="2002" s="11" customFormat="1" x14ac:dyDescent="0.3"/>
    <row r="2003" s="11" customFormat="1" x14ac:dyDescent="0.3"/>
    <row r="2004" s="11" customFormat="1" x14ac:dyDescent="0.3"/>
    <row r="2005" s="11" customFormat="1" x14ac:dyDescent="0.3"/>
    <row r="2006" s="11" customFormat="1" x14ac:dyDescent="0.3"/>
    <row r="2007" s="11" customFormat="1" x14ac:dyDescent="0.3"/>
    <row r="2008" s="11" customFormat="1" x14ac:dyDescent="0.3"/>
    <row r="2009" s="11" customFormat="1" x14ac:dyDescent="0.3"/>
    <row r="2010" s="11" customFormat="1" x14ac:dyDescent="0.3"/>
    <row r="2011" s="11" customFormat="1" x14ac:dyDescent="0.3"/>
    <row r="2012" s="11" customFormat="1" x14ac:dyDescent="0.3"/>
    <row r="2013" s="11" customFormat="1" x14ac:dyDescent="0.3"/>
    <row r="2014" s="11" customFormat="1" x14ac:dyDescent="0.3"/>
    <row r="2015" s="11" customFormat="1" x14ac:dyDescent="0.3"/>
    <row r="2016" s="11" customFormat="1" x14ac:dyDescent="0.3"/>
    <row r="2017" s="11" customFormat="1" x14ac:dyDescent="0.3"/>
    <row r="2018" s="11" customFormat="1" x14ac:dyDescent="0.3"/>
    <row r="2019" s="11" customFormat="1" x14ac:dyDescent="0.3"/>
    <row r="2020" s="11" customFormat="1" x14ac:dyDescent="0.3"/>
    <row r="2021" s="11" customFormat="1" x14ac:dyDescent="0.3"/>
    <row r="2022" s="11" customFormat="1" x14ac:dyDescent="0.3"/>
    <row r="2023" s="11" customFormat="1" x14ac:dyDescent="0.3"/>
    <row r="2024" s="11" customFormat="1" x14ac:dyDescent="0.3"/>
    <row r="2025" s="11" customFormat="1" x14ac:dyDescent="0.3"/>
    <row r="2026" s="11" customFormat="1" x14ac:dyDescent="0.3"/>
    <row r="2027" s="11" customFormat="1" x14ac:dyDescent="0.3"/>
    <row r="2028" s="11" customFormat="1" x14ac:dyDescent="0.3"/>
    <row r="2029" s="11" customFormat="1" x14ac:dyDescent="0.3"/>
    <row r="2030" s="11" customFormat="1" x14ac:dyDescent="0.3"/>
    <row r="2031" s="11" customFormat="1" x14ac:dyDescent="0.3"/>
    <row r="2032" s="11" customFormat="1" x14ac:dyDescent="0.3"/>
    <row r="2033" s="11" customFormat="1" x14ac:dyDescent="0.3"/>
    <row r="2034" s="11" customFormat="1" x14ac:dyDescent="0.3"/>
    <row r="2035" s="11" customFormat="1" x14ac:dyDescent="0.3"/>
    <row r="2036" s="11" customFormat="1" x14ac:dyDescent="0.3"/>
    <row r="2037" s="11" customFormat="1" x14ac:dyDescent="0.3"/>
    <row r="2038" s="11" customFormat="1" x14ac:dyDescent="0.3"/>
    <row r="2039" s="11" customFormat="1" x14ac:dyDescent="0.3"/>
    <row r="2040" s="11" customFormat="1" x14ac:dyDescent="0.3"/>
    <row r="2041" s="11" customFormat="1" x14ac:dyDescent="0.3"/>
    <row r="2042" s="11" customFormat="1" x14ac:dyDescent="0.3"/>
    <row r="2043" s="11" customFormat="1" x14ac:dyDescent="0.3"/>
    <row r="2044" s="11" customFormat="1" x14ac:dyDescent="0.3"/>
    <row r="2045" s="11" customFormat="1" x14ac:dyDescent="0.3"/>
    <row r="2046" s="11" customFormat="1" x14ac:dyDescent="0.3"/>
    <row r="2047" s="11" customFormat="1" x14ac:dyDescent="0.3"/>
    <row r="2048" s="11" customFormat="1" x14ac:dyDescent="0.3"/>
    <row r="2049" s="11" customFormat="1" x14ac:dyDescent="0.3"/>
    <row r="2050" s="11" customFormat="1" x14ac:dyDescent="0.3"/>
    <row r="2051" s="11" customFormat="1" x14ac:dyDescent="0.3"/>
    <row r="2052" s="11" customFormat="1" x14ac:dyDescent="0.3"/>
    <row r="2053" s="11" customFormat="1" x14ac:dyDescent="0.3"/>
    <row r="2054" s="11" customFormat="1" x14ac:dyDescent="0.3"/>
    <row r="2055" s="11" customFormat="1" x14ac:dyDescent="0.3"/>
    <row r="2056" s="11" customFormat="1" x14ac:dyDescent="0.3"/>
    <row r="2057" s="11" customFormat="1" x14ac:dyDescent="0.3"/>
    <row r="2058" s="11" customFormat="1" x14ac:dyDescent="0.3"/>
    <row r="2059" s="11" customFormat="1" x14ac:dyDescent="0.3"/>
    <row r="2060" s="11" customFormat="1" x14ac:dyDescent="0.3"/>
    <row r="2061" s="11" customFormat="1" x14ac:dyDescent="0.3"/>
    <row r="2062" s="11" customFormat="1" x14ac:dyDescent="0.3"/>
    <row r="2063" s="11" customFormat="1" x14ac:dyDescent="0.3"/>
    <row r="2064" s="11" customFormat="1" x14ac:dyDescent="0.3"/>
    <row r="2065" s="11" customFormat="1" x14ac:dyDescent="0.3"/>
    <row r="2066" s="11" customFormat="1" x14ac:dyDescent="0.3"/>
    <row r="2067" s="11" customFormat="1" x14ac:dyDescent="0.3"/>
    <row r="2068" s="11" customFormat="1" x14ac:dyDescent="0.3"/>
    <row r="2069" s="11" customFormat="1" x14ac:dyDescent="0.3"/>
    <row r="2070" s="11" customFormat="1" x14ac:dyDescent="0.3"/>
    <row r="2071" s="11" customFormat="1" x14ac:dyDescent="0.3"/>
    <row r="2072" s="11" customFormat="1" x14ac:dyDescent="0.3"/>
    <row r="2073" s="11" customFormat="1" x14ac:dyDescent="0.3"/>
    <row r="2074" s="11" customFormat="1" x14ac:dyDescent="0.3"/>
    <row r="2075" s="11" customFormat="1" x14ac:dyDescent="0.3"/>
    <row r="2076" s="11" customFormat="1" x14ac:dyDescent="0.3"/>
    <row r="2077" s="11" customFormat="1" x14ac:dyDescent="0.3"/>
    <row r="2078" s="11" customFormat="1" x14ac:dyDescent="0.3"/>
    <row r="2079" s="11" customFormat="1" x14ac:dyDescent="0.3"/>
    <row r="2080" s="11" customFormat="1" x14ac:dyDescent="0.3"/>
    <row r="2081" s="11" customFormat="1" x14ac:dyDescent="0.3"/>
    <row r="2082" s="11" customFormat="1" x14ac:dyDescent="0.3"/>
    <row r="2083" s="11" customFormat="1" x14ac:dyDescent="0.3"/>
    <row r="2084" s="11" customFormat="1" x14ac:dyDescent="0.3"/>
    <row r="2085" s="11" customFormat="1" x14ac:dyDescent="0.3"/>
    <row r="2086" s="11" customFormat="1" x14ac:dyDescent="0.3"/>
    <row r="2087" s="11" customFormat="1" x14ac:dyDescent="0.3"/>
    <row r="2088" s="11" customFormat="1" x14ac:dyDescent="0.3"/>
    <row r="2089" s="11" customFormat="1" x14ac:dyDescent="0.3"/>
    <row r="2090" s="11" customFormat="1" x14ac:dyDescent="0.3"/>
    <row r="2091" s="11" customFormat="1" x14ac:dyDescent="0.3"/>
    <row r="2092" s="11" customFormat="1" x14ac:dyDescent="0.3"/>
    <row r="2093" s="11" customFormat="1" x14ac:dyDescent="0.3"/>
    <row r="2094" s="11" customFormat="1" x14ac:dyDescent="0.3"/>
    <row r="2095" s="11" customFormat="1" x14ac:dyDescent="0.3"/>
    <row r="2096" s="11" customFormat="1" x14ac:dyDescent="0.3"/>
    <row r="2097" s="11" customFormat="1" x14ac:dyDescent="0.3"/>
    <row r="2098" s="11" customFormat="1" x14ac:dyDescent="0.3"/>
    <row r="2099" s="11" customFormat="1" x14ac:dyDescent="0.3"/>
    <row r="2100" s="11" customFormat="1" x14ac:dyDescent="0.3"/>
    <row r="2101" s="11" customFormat="1" x14ac:dyDescent="0.3"/>
    <row r="2102" s="11" customFormat="1" x14ac:dyDescent="0.3"/>
    <row r="2103" s="11" customFormat="1" x14ac:dyDescent="0.3"/>
    <row r="2104" s="11" customFormat="1" x14ac:dyDescent="0.3"/>
    <row r="2105" s="11" customFormat="1" x14ac:dyDescent="0.3"/>
    <row r="2106" s="11" customFormat="1" x14ac:dyDescent="0.3"/>
    <row r="2107" s="11" customFormat="1" x14ac:dyDescent="0.3"/>
    <row r="2108" s="11" customFormat="1" x14ac:dyDescent="0.3"/>
    <row r="2109" s="11" customFormat="1" x14ac:dyDescent="0.3"/>
    <row r="2110" s="11" customFormat="1" x14ac:dyDescent="0.3"/>
    <row r="2111" s="11" customFormat="1" x14ac:dyDescent="0.3"/>
    <row r="2112" s="11" customFormat="1" x14ac:dyDescent="0.3"/>
    <row r="2113" s="11" customFormat="1" x14ac:dyDescent="0.3"/>
    <row r="2114" s="11" customFormat="1" x14ac:dyDescent="0.3"/>
    <row r="2115" s="11" customFormat="1" x14ac:dyDescent="0.3"/>
    <row r="2116" s="11" customFormat="1" x14ac:dyDescent="0.3"/>
    <row r="2117" s="11" customFormat="1" x14ac:dyDescent="0.3"/>
    <row r="2118" s="11" customFormat="1" x14ac:dyDescent="0.3"/>
    <row r="2119" s="11" customFormat="1" x14ac:dyDescent="0.3"/>
    <row r="2120" s="11" customFormat="1" x14ac:dyDescent="0.3"/>
    <row r="2121" s="11" customFormat="1" x14ac:dyDescent="0.3"/>
    <row r="2122" s="11" customFormat="1" x14ac:dyDescent="0.3"/>
    <row r="2123" s="11" customFormat="1" x14ac:dyDescent="0.3"/>
    <row r="2124" s="11" customFormat="1" x14ac:dyDescent="0.3"/>
    <row r="2125" s="11" customFormat="1" x14ac:dyDescent="0.3"/>
    <row r="2126" s="11" customFormat="1" x14ac:dyDescent="0.3"/>
    <row r="2127" s="11" customFormat="1" x14ac:dyDescent="0.3"/>
    <row r="2128" s="11" customFormat="1" x14ac:dyDescent="0.3"/>
    <row r="2129" spans="1:19" s="11" customFormat="1" x14ac:dyDescent="0.3"/>
    <row r="2130" spans="1:19" s="11" customFormat="1" x14ac:dyDescent="0.3"/>
    <row r="2131" spans="1:19" s="11" customFormat="1" x14ac:dyDescent="0.3"/>
    <row r="2132" spans="1:19" s="11" customFormat="1" x14ac:dyDescent="0.3"/>
    <row r="2133" spans="1:19" s="11" customFormat="1" x14ac:dyDescent="0.3"/>
    <row r="2134" spans="1:19" s="11" customFormat="1" x14ac:dyDescent="0.3"/>
    <row r="2135" spans="1:19" s="11" customFormat="1" x14ac:dyDescent="0.3"/>
    <row r="2136" spans="1:19" s="11" customFormat="1" x14ac:dyDescent="0.3"/>
    <row r="2137" spans="1:19" s="11" customFormat="1" x14ac:dyDescent="0.3"/>
    <row r="2138" spans="1:19" s="11" customFormat="1" x14ac:dyDescent="0.3"/>
    <row r="2139" spans="1:19" s="11" customFormat="1" x14ac:dyDescent="0.3"/>
    <row r="2140" spans="1:19" s="11" customFormat="1" x14ac:dyDescent="0.3"/>
    <row r="2141" spans="1:19" s="11" customFormat="1" x14ac:dyDescent="0.3"/>
    <row r="2142" spans="1:19" s="11" customFormat="1" x14ac:dyDescent="0.3"/>
    <row r="2143" spans="1:19" s="14" customFormat="1" x14ac:dyDescent="0.3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</row>
    <row r="2144" spans="1:19" s="14" customFormat="1" x14ac:dyDescent="0.3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</row>
    <row r="2145" spans="1:19" s="14" customFormat="1" x14ac:dyDescent="0.3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</row>
    <row r="2146" spans="1:19" s="14" customFormat="1" x14ac:dyDescent="0.3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</row>
    <row r="2147" spans="1:19" s="14" customFormat="1" x14ac:dyDescent="0.3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</row>
    <row r="2148" spans="1:19" s="14" customFormat="1" x14ac:dyDescent="0.3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</row>
    <row r="2149" spans="1:19" s="14" customFormat="1" x14ac:dyDescent="0.3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</row>
    <row r="2150" spans="1:19" s="14" customFormat="1" x14ac:dyDescent="0.3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</row>
    <row r="2151" spans="1:19" s="14" customFormat="1" x14ac:dyDescent="0.3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</row>
    <row r="2152" spans="1:19" s="14" customFormat="1" x14ac:dyDescent="0.3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</row>
    <row r="2153" spans="1:19" s="14" customFormat="1" x14ac:dyDescent="0.3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</row>
    <row r="2154" spans="1:19" s="14" customFormat="1" x14ac:dyDescent="0.3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</row>
    <row r="2155" spans="1:19" s="14" customFormat="1" x14ac:dyDescent="0.3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</row>
    <row r="2156" spans="1:19" s="14" customFormat="1" x14ac:dyDescent="0.3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</row>
    <row r="2157" spans="1:19" s="14" customFormat="1" x14ac:dyDescent="0.3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</row>
    <row r="2158" spans="1:19" s="14" customFormat="1" x14ac:dyDescent="0.3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</row>
    <row r="2159" spans="1:19" s="14" customFormat="1" x14ac:dyDescent="0.3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</row>
    <row r="2160" spans="1:19" s="14" customFormat="1" x14ac:dyDescent="0.3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</row>
    <row r="2161" spans="1:19" s="14" customFormat="1" x14ac:dyDescent="0.3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</row>
    <row r="2162" spans="1:19" s="14" customFormat="1" x14ac:dyDescent="0.3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</row>
    <row r="2163" spans="1:19" s="14" customFormat="1" x14ac:dyDescent="0.3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</row>
    <row r="2164" spans="1:19" s="14" customFormat="1" x14ac:dyDescent="0.3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</row>
    <row r="2165" spans="1:19" s="14" customFormat="1" x14ac:dyDescent="0.3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</row>
    <row r="2166" spans="1:19" s="14" customFormat="1" x14ac:dyDescent="0.3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</row>
    <row r="2167" spans="1:19" s="14" customFormat="1" x14ac:dyDescent="0.3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</row>
    <row r="2168" spans="1:19" s="14" customFormat="1" x14ac:dyDescent="0.3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</row>
    <row r="2169" spans="1:19" s="14" customFormat="1" x14ac:dyDescent="0.3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</row>
    <row r="2170" spans="1:19" s="14" customFormat="1" x14ac:dyDescent="0.3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</row>
    <row r="2171" spans="1:19" s="14" customFormat="1" x14ac:dyDescent="0.3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</row>
    <row r="2172" spans="1:19" s="14" customFormat="1" x14ac:dyDescent="0.3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</row>
    <row r="2173" spans="1:19" s="14" customFormat="1" x14ac:dyDescent="0.3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</row>
    <row r="2174" spans="1:19" s="14" customFormat="1" x14ac:dyDescent="0.3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</row>
    <row r="2175" spans="1:19" s="14" customFormat="1" x14ac:dyDescent="0.3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</row>
    <row r="2176" spans="1:19" s="14" customFormat="1" x14ac:dyDescent="0.3"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</row>
    <row r="2177" spans="2:19" s="14" customFormat="1" x14ac:dyDescent="0.3"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</row>
    <row r="2178" spans="2:19" s="14" customFormat="1" x14ac:dyDescent="0.3"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</row>
    <row r="2179" spans="2:19" s="14" customFormat="1" x14ac:dyDescent="0.3"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</row>
    <row r="2180" spans="2:19" s="14" customFormat="1" x14ac:dyDescent="0.3"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</row>
    <row r="2181" spans="2:19" s="14" customFormat="1" x14ac:dyDescent="0.3"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</row>
    <row r="2182" spans="2:19" s="14" customFormat="1" x14ac:dyDescent="0.3"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</row>
    <row r="2183" spans="2:19" s="14" customFormat="1" x14ac:dyDescent="0.3"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</row>
    <row r="2184" spans="2:19" s="14" customFormat="1" x14ac:dyDescent="0.3"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</row>
    <row r="2185" spans="2:19" s="14" customFormat="1" x14ac:dyDescent="0.3"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</row>
    <row r="2186" spans="2:19" s="14" customFormat="1" x14ac:dyDescent="0.3"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</row>
    <row r="2187" spans="2:19" s="14" customFormat="1" x14ac:dyDescent="0.3"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</row>
    <row r="2188" spans="2:19" s="14" customFormat="1" x14ac:dyDescent="0.3"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</row>
    <row r="2189" spans="2:19" s="14" customFormat="1" x14ac:dyDescent="0.3"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</row>
    <row r="2190" spans="2:19" s="14" customFormat="1" x14ac:dyDescent="0.3"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</row>
    <row r="2191" spans="2:19" s="14" customFormat="1" x14ac:dyDescent="0.3"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</row>
    <row r="2192" spans="2:19" s="14" customFormat="1" x14ac:dyDescent="0.3"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</row>
    <row r="2193" spans="2:19" s="14" customFormat="1" x14ac:dyDescent="0.3"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</row>
    <row r="2194" spans="2:19" s="14" customFormat="1" x14ac:dyDescent="0.3"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</row>
    <row r="2195" spans="2:19" s="14" customFormat="1" x14ac:dyDescent="0.3"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</row>
    <row r="2196" spans="2:19" s="14" customFormat="1" x14ac:dyDescent="0.3"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</row>
    <row r="2197" spans="2:19" s="14" customFormat="1" x14ac:dyDescent="0.3"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</row>
    <row r="2198" spans="2:19" s="14" customFormat="1" x14ac:dyDescent="0.3"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</row>
    <row r="2199" spans="2:19" s="14" customFormat="1" x14ac:dyDescent="0.3"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</row>
    <row r="2200" spans="2:19" s="14" customFormat="1" x14ac:dyDescent="0.3"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</row>
    <row r="2201" spans="2:19" s="14" customFormat="1" x14ac:dyDescent="0.3"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</row>
    <row r="2202" spans="2:19" s="14" customFormat="1" x14ac:dyDescent="0.3"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</row>
    <row r="2203" spans="2:19" s="14" customFormat="1" x14ac:dyDescent="0.3"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</row>
    <row r="2204" spans="2:19" s="14" customFormat="1" x14ac:dyDescent="0.3"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</row>
    <row r="2205" spans="2:19" s="14" customFormat="1" x14ac:dyDescent="0.3"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</row>
    <row r="2206" spans="2:19" s="14" customFormat="1" x14ac:dyDescent="0.3"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</row>
    <row r="2207" spans="2:19" s="14" customFormat="1" x14ac:dyDescent="0.3"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</row>
    <row r="2208" spans="2:19" s="14" customFormat="1" x14ac:dyDescent="0.3"/>
    <row r="2209" s="14" customFormat="1" x14ac:dyDescent="0.3"/>
    <row r="2210" s="14" customFormat="1" x14ac:dyDescent="0.3"/>
    <row r="2211" s="14" customFormat="1" x14ac:dyDescent="0.3"/>
    <row r="2212" s="14" customFormat="1" x14ac:dyDescent="0.3"/>
    <row r="2213" s="14" customFormat="1" x14ac:dyDescent="0.3"/>
    <row r="2214" s="14" customFormat="1" x14ac:dyDescent="0.3"/>
    <row r="2215" s="14" customFormat="1" x14ac:dyDescent="0.3"/>
    <row r="2216" s="14" customFormat="1" x14ac:dyDescent="0.3"/>
    <row r="2217" s="14" customFormat="1" x14ac:dyDescent="0.3"/>
    <row r="2218" s="14" customFormat="1" x14ac:dyDescent="0.3"/>
    <row r="2219" s="14" customFormat="1" x14ac:dyDescent="0.3"/>
    <row r="2220" s="14" customFormat="1" x14ac:dyDescent="0.3"/>
    <row r="2221" s="14" customFormat="1" x14ac:dyDescent="0.3"/>
    <row r="2222" s="14" customFormat="1" x14ac:dyDescent="0.3"/>
    <row r="2223" s="14" customFormat="1" x14ac:dyDescent="0.3"/>
    <row r="2224" s="14" customFormat="1" x14ac:dyDescent="0.3"/>
    <row r="2225" s="14" customFormat="1" x14ac:dyDescent="0.3"/>
    <row r="2226" s="14" customFormat="1" x14ac:dyDescent="0.3"/>
    <row r="2227" s="14" customFormat="1" x14ac:dyDescent="0.3"/>
    <row r="2228" s="14" customFormat="1" x14ac:dyDescent="0.3"/>
    <row r="2229" s="14" customFormat="1" x14ac:dyDescent="0.3"/>
    <row r="2230" s="14" customFormat="1" x14ac:dyDescent="0.3"/>
    <row r="2231" s="14" customFormat="1" x14ac:dyDescent="0.3"/>
    <row r="2232" s="14" customFormat="1" x14ac:dyDescent="0.3"/>
    <row r="2233" s="14" customFormat="1" x14ac:dyDescent="0.3"/>
    <row r="2234" s="14" customFormat="1" x14ac:dyDescent="0.3"/>
    <row r="2235" s="14" customFormat="1" x14ac:dyDescent="0.3"/>
    <row r="2236" s="14" customFormat="1" x14ac:dyDescent="0.3"/>
    <row r="2237" s="14" customFormat="1" x14ac:dyDescent="0.3"/>
    <row r="2238" s="14" customFormat="1" x14ac:dyDescent="0.3"/>
    <row r="2239" s="14" customFormat="1" x14ac:dyDescent="0.3"/>
    <row r="2240" s="14" customFormat="1" x14ac:dyDescent="0.3"/>
    <row r="2241" s="14" customFormat="1" x14ac:dyDescent="0.3"/>
    <row r="2242" s="14" customFormat="1" x14ac:dyDescent="0.3"/>
    <row r="2243" s="14" customFormat="1" x14ac:dyDescent="0.3"/>
    <row r="2244" s="14" customFormat="1" x14ac:dyDescent="0.3"/>
    <row r="2245" s="14" customFormat="1" x14ac:dyDescent="0.3"/>
    <row r="2246" s="14" customFormat="1" x14ac:dyDescent="0.3"/>
    <row r="2247" s="14" customFormat="1" x14ac:dyDescent="0.3"/>
    <row r="2248" s="14" customFormat="1" x14ac:dyDescent="0.3"/>
    <row r="2249" s="14" customFormat="1" x14ac:dyDescent="0.3"/>
    <row r="2250" s="14" customFormat="1" x14ac:dyDescent="0.3"/>
    <row r="2251" s="14" customFormat="1" x14ac:dyDescent="0.3"/>
    <row r="2252" s="14" customFormat="1" x14ac:dyDescent="0.3"/>
    <row r="2253" s="14" customFormat="1" x14ac:dyDescent="0.3"/>
    <row r="2254" s="14" customFormat="1" x14ac:dyDescent="0.3"/>
    <row r="2255" s="14" customFormat="1" x14ac:dyDescent="0.3"/>
    <row r="2256" s="14" customFormat="1" x14ac:dyDescent="0.3"/>
    <row r="2257" s="14" customFormat="1" x14ac:dyDescent="0.3"/>
    <row r="2258" s="14" customFormat="1" x14ac:dyDescent="0.3"/>
    <row r="2259" s="14" customFormat="1" x14ac:dyDescent="0.3"/>
    <row r="2260" s="14" customFormat="1" x14ac:dyDescent="0.3"/>
    <row r="2261" s="14" customFormat="1" x14ac:dyDescent="0.3"/>
    <row r="2262" s="14" customFormat="1" x14ac:dyDescent="0.3"/>
    <row r="2263" s="14" customFormat="1" x14ac:dyDescent="0.3"/>
    <row r="2264" s="14" customFormat="1" x14ac:dyDescent="0.3"/>
    <row r="2265" s="14" customFormat="1" x14ac:dyDescent="0.3"/>
    <row r="2266" s="14" customFormat="1" x14ac:dyDescent="0.3"/>
    <row r="2267" s="14" customFormat="1" x14ac:dyDescent="0.3"/>
    <row r="2268" s="14" customFormat="1" x14ac:dyDescent="0.3"/>
    <row r="2269" s="14" customFormat="1" x14ac:dyDescent="0.3"/>
    <row r="2270" s="14" customFormat="1" x14ac:dyDescent="0.3"/>
    <row r="2271" s="14" customFormat="1" x14ac:dyDescent="0.3"/>
    <row r="2272" s="14" customFormat="1" x14ac:dyDescent="0.3"/>
    <row r="2273" s="14" customFormat="1" x14ac:dyDescent="0.3"/>
    <row r="2274" s="14" customFormat="1" x14ac:dyDescent="0.3"/>
    <row r="2275" s="14" customFormat="1" x14ac:dyDescent="0.3"/>
    <row r="2276" s="14" customFormat="1" x14ac:dyDescent="0.3"/>
    <row r="2277" s="14" customFormat="1" x14ac:dyDescent="0.3"/>
    <row r="2278" s="14" customFormat="1" x14ac:dyDescent="0.3"/>
    <row r="2279" s="14" customFormat="1" x14ac:dyDescent="0.3"/>
    <row r="2280" s="14" customFormat="1" x14ac:dyDescent="0.3"/>
    <row r="2281" s="14" customFormat="1" x14ac:dyDescent="0.3"/>
    <row r="2282" s="14" customFormat="1" x14ac:dyDescent="0.3"/>
    <row r="2283" s="14" customFormat="1" x14ac:dyDescent="0.3"/>
    <row r="2284" s="14" customFormat="1" x14ac:dyDescent="0.3"/>
    <row r="2285" s="14" customFormat="1" x14ac:dyDescent="0.3"/>
    <row r="2286" s="14" customFormat="1" x14ac:dyDescent="0.3"/>
    <row r="2287" s="14" customFormat="1" x14ac:dyDescent="0.3"/>
    <row r="2288" s="14" customFormat="1" x14ac:dyDescent="0.3"/>
    <row r="2289" s="14" customFormat="1" x14ac:dyDescent="0.3"/>
    <row r="2290" s="14" customFormat="1" x14ac:dyDescent="0.3"/>
    <row r="2291" s="14" customFormat="1" x14ac:dyDescent="0.3"/>
    <row r="2292" s="14" customFormat="1" x14ac:dyDescent="0.3"/>
    <row r="2293" s="14" customFormat="1" x14ac:dyDescent="0.3"/>
    <row r="2294" s="14" customFormat="1" x14ac:dyDescent="0.3"/>
    <row r="2295" s="14" customFormat="1" x14ac:dyDescent="0.3"/>
    <row r="2296" s="14" customFormat="1" x14ac:dyDescent="0.3"/>
    <row r="2297" s="14" customFormat="1" x14ac:dyDescent="0.3"/>
    <row r="2298" s="14" customFormat="1" x14ac:dyDescent="0.3"/>
    <row r="2299" s="14" customFormat="1" x14ac:dyDescent="0.3"/>
    <row r="2300" s="14" customFormat="1" x14ac:dyDescent="0.3"/>
    <row r="2301" s="14" customFormat="1" x14ac:dyDescent="0.3"/>
    <row r="2302" s="14" customFormat="1" x14ac:dyDescent="0.3"/>
    <row r="2303" s="14" customFormat="1" x14ac:dyDescent="0.3"/>
    <row r="2304" s="14" customFormat="1" x14ac:dyDescent="0.3"/>
    <row r="2305" s="14" customFormat="1" x14ac:dyDescent="0.3"/>
    <row r="2306" s="14" customFormat="1" x14ac:dyDescent="0.3"/>
    <row r="2307" s="14" customFormat="1" x14ac:dyDescent="0.3"/>
    <row r="2308" s="14" customFormat="1" x14ac:dyDescent="0.3"/>
    <row r="2309" s="14" customFormat="1" x14ac:dyDescent="0.3"/>
    <row r="2310" s="14" customFormat="1" x14ac:dyDescent="0.3"/>
    <row r="2311" s="14" customFormat="1" x14ac:dyDescent="0.3"/>
    <row r="2312" s="14" customFormat="1" x14ac:dyDescent="0.3"/>
    <row r="2313" s="14" customFormat="1" x14ac:dyDescent="0.3"/>
    <row r="2314" s="14" customFormat="1" x14ac:dyDescent="0.3"/>
    <row r="2315" s="14" customFormat="1" x14ac:dyDescent="0.3"/>
    <row r="2316" s="14" customFormat="1" x14ac:dyDescent="0.3"/>
    <row r="2317" s="14" customFormat="1" x14ac:dyDescent="0.3"/>
    <row r="2318" s="14" customFormat="1" x14ac:dyDescent="0.3"/>
    <row r="2319" s="14" customFormat="1" x14ac:dyDescent="0.3"/>
    <row r="2320" s="14" customFormat="1" x14ac:dyDescent="0.3"/>
    <row r="2321" s="14" customFormat="1" x14ac:dyDescent="0.3"/>
    <row r="2322" s="14" customFormat="1" x14ac:dyDescent="0.3"/>
    <row r="2323" s="14" customFormat="1" x14ac:dyDescent="0.3"/>
    <row r="2324" s="14" customFormat="1" x14ac:dyDescent="0.3"/>
    <row r="2325" s="14" customFormat="1" x14ac:dyDescent="0.3"/>
    <row r="2326" s="14" customFormat="1" x14ac:dyDescent="0.3"/>
    <row r="2327" s="14" customFormat="1" x14ac:dyDescent="0.3"/>
    <row r="2328" s="14" customFormat="1" x14ac:dyDescent="0.3"/>
    <row r="2329" s="14" customFormat="1" x14ac:dyDescent="0.3"/>
    <row r="2330" s="14" customFormat="1" x14ac:dyDescent="0.3"/>
    <row r="2331" s="14" customFormat="1" x14ac:dyDescent="0.3"/>
    <row r="2332" s="14" customFormat="1" x14ac:dyDescent="0.3"/>
    <row r="2333" s="14" customFormat="1" x14ac:dyDescent="0.3"/>
    <row r="2334" s="14" customFormat="1" x14ac:dyDescent="0.3"/>
    <row r="2335" s="14" customFormat="1" x14ac:dyDescent="0.3"/>
    <row r="2336" s="14" customFormat="1" x14ac:dyDescent="0.3"/>
    <row r="2337" spans="1:19" s="14" customFormat="1" x14ac:dyDescent="0.3"/>
    <row r="2338" spans="1:19" s="14" customFormat="1" x14ac:dyDescent="0.3"/>
    <row r="2339" spans="1:19" s="14" customFormat="1" x14ac:dyDescent="0.3"/>
    <row r="2340" spans="1:19" s="14" customFormat="1" x14ac:dyDescent="0.3"/>
    <row r="2341" spans="1:19" s="14" customFormat="1" x14ac:dyDescent="0.3"/>
    <row r="2342" spans="1:19" s="14" customFormat="1" x14ac:dyDescent="0.3"/>
    <row r="2343" spans="1:19" x14ac:dyDescent="0.3">
      <c r="A2343" s="14"/>
      <c r="B2343" s="14"/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</row>
    <row r="2344" spans="1:19" x14ac:dyDescent="0.3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</row>
    <row r="2345" spans="1:19" x14ac:dyDescent="0.3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</row>
    <row r="2346" spans="1:19" x14ac:dyDescent="0.3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</row>
    <row r="2347" spans="1:19" x14ac:dyDescent="0.3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</row>
    <row r="2348" spans="1:19" x14ac:dyDescent="0.3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</row>
    <row r="2349" spans="1:19" x14ac:dyDescent="0.3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</row>
    <row r="2350" spans="1:19" x14ac:dyDescent="0.3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</row>
    <row r="2351" spans="1:19" x14ac:dyDescent="0.3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</row>
    <row r="2352" spans="1:19" x14ac:dyDescent="0.3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</row>
    <row r="2353" spans="1:19" x14ac:dyDescent="0.3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</row>
    <row r="2354" spans="1:19" x14ac:dyDescent="0.3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</row>
    <row r="2355" spans="1:19" x14ac:dyDescent="0.3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</row>
    <row r="2356" spans="1:19" x14ac:dyDescent="0.3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</row>
    <row r="2357" spans="1:19" x14ac:dyDescent="0.3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</row>
    <row r="2358" spans="1:19" x14ac:dyDescent="0.3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</row>
    <row r="2359" spans="1:19" x14ac:dyDescent="0.3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</row>
    <row r="2360" spans="1:19" x14ac:dyDescent="0.3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</row>
    <row r="2361" spans="1:19" x14ac:dyDescent="0.3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</row>
    <row r="2362" spans="1:19" x14ac:dyDescent="0.3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</row>
    <row r="2363" spans="1:19" x14ac:dyDescent="0.3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</row>
    <row r="2364" spans="1:19" x14ac:dyDescent="0.3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</row>
    <row r="2365" spans="1:19" x14ac:dyDescent="0.3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</row>
    <row r="2366" spans="1:19" x14ac:dyDescent="0.3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</row>
    <row r="2367" spans="1:19" x14ac:dyDescent="0.3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</row>
    <row r="2368" spans="1:19" x14ac:dyDescent="0.3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</row>
    <row r="2369" spans="1:19" x14ac:dyDescent="0.3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</row>
    <row r="2370" spans="1:19" x14ac:dyDescent="0.3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</row>
    <row r="2371" spans="1:19" x14ac:dyDescent="0.3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</row>
    <row r="2372" spans="1:19" x14ac:dyDescent="0.3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</row>
    <row r="2373" spans="1:19" x14ac:dyDescent="0.3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</row>
    <row r="2374" spans="1:19" x14ac:dyDescent="0.3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</row>
    <row r="2375" spans="1:19" x14ac:dyDescent="0.3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</row>
    <row r="2376" spans="1:19" x14ac:dyDescent="0.3"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</row>
    <row r="2377" spans="1:19" x14ac:dyDescent="0.3"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</row>
    <row r="2378" spans="1:19" x14ac:dyDescent="0.3"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</row>
    <row r="2379" spans="1:19" x14ac:dyDescent="0.3"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</row>
    <row r="2380" spans="1:19" x14ac:dyDescent="0.3"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</row>
    <row r="2381" spans="1:19" x14ac:dyDescent="0.3"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</row>
    <row r="2382" spans="1:19" x14ac:dyDescent="0.3"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</row>
    <row r="2383" spans="1:19" x14ac:dyDescent="0.3"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</row>
    <row r="2384" spans="1:19" x14ac:dyDescent="0.3"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</row>
    <row r="2385" spans="2:19" x14ac:dyDescent="0.3"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</row>
    <row r="2386" spans="2:19" x14ac:dyDescent="0.3"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</row>
    <row r="2387" spans="2:19" x14ac:dyDescent="0.3"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</row>
    <row r="2388" spans="2:19" x14ac:dyDescent="0.3"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</row>
    <row r="2389" spans="2:19" x14ac:dyDescent="0.3"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</row>
    <row r="2390" spans="2:19" x14ac:dyDescent="0.3"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</row>
    <row r="2391" spans="2:19" x14ac:dyDescent="0.3"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</row>
    <row r="2392" spans="2:19" x14ac:dyDescent="0.3"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</row>
    <row r="2393" spans="2:19" x14ac:dyDescent="0.3"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</row>
    <row r="2394" spans="2:19" x14ac:dyDescent="0.3"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</row>
    <row r="2395" spans="2:19" x14ac:dyDescent="0.3"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</row>
    <row r="2396" spans="2:19" x14ac:dyDescent="0.3"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</row>
    <row r="2397" spans="2:19" x14ac:dyDescent="0.3"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</row>
    <row r="2398" spans="2:19" x14ac:dyDescent="0.3"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</row>
    <row r="2399" spans="2:19" x14ac:dyDescent="0.3"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</row>
    <row r="2400" spans="2:19" x14ac:dyDescent="0.3"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</row>
    <row r="2401" spans="2:19" x14ac:dyDescent="0.3"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</row>
    <row r="2402" spans="2:19" x14ac:dyDescent="0.3"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</row>
    <row r="2403" spans="2:19" x14ac:dyDescent="0.3"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</row>
    <row r="2404" spans="2:19" x14ac:dyDescent="0.3"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</row>
    <row r="2405" spans="2:19" x14ac:dyDescent="0.3"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</row>
    <row r="2406" spans="2:19" x14ac:dyDescent="0.3"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</row>
    <row r="2407" spans="2:19" x14ac:dyDescent="0.3"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Table7.0</vt:lpstr>
      <vt:lpstr>Table7.0!Print_Titles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Alyssa Fajardo</cp:lastModifiedBy>
  <cp:lastPrinted>2022-08-11T08:58:55Z</cp:lastPrinted>
  <dcterms:created xsi:type="dcterms:W3CDTF">2012-10-18T00:42:30Z</dcterms:created>
  <dcterms:modified xsi:type="dcterms:W3CDTF">2026-04-17T03:45:01Z</dcterms:modified>
</cp:coreProperties>
</file>