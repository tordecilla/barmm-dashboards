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Building Permits\SR 2025 December\"/>
    </mc:Choice>
  </mc:AlternateContent>
  <xr:revisionPtr revIDLastSave="0" documentId="13_ncr:1_{9CA2911E-0B77-4872-80CD-92FA8366092A}" xr6:coauthVersionLast="47" xr6:coauthVersionMax="47" xr10:uidLastSave="{00000000-0000-0000-0000-000000000000}"/>
  <bookViews>
    <workbookView xWindow="-264" yWindow="0" windowWidth="12900" windowHeight="12336" tabRatio="772" xr2:uid="{18A9F4B7-3B49-4C2D-98AC-4C2C7E27111D}"/>
  </bookViews>
  <sheets>
    <sheet name="Table8.0" sheetId="11" r:id="rId1"/>
  </sheets>
  <definedNames>
    <definedName name="_xlnm._FilterDatabase" localSheetId="0" hidden="1">Table8.0!$A$1:$A$2385</definedName>
    <definedName name="_xlnm.Print_Titles" localSheetId="0">Table8.0!$1:$8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<sst xmlns="http://schemas.openxmlformats.org/spreadsheetml/2006/main" count="198" uniqueCount="156">
  <si>
    <t>Number</t>
  </si>
  <si>
    <t>Floor Area</t>
  </si>
  <si>
    <t>Value</t>
  </si>
  <si>
    <t>Total</t>
  </si>
  <si>
    <t>(sq.m.)</t>
  </si>
  <si>
    <t>School</t>
  </si>
  <si>
    <t>Other Institutional</t>
  </si>
  <si>
    <t>Welfare/Charitable Structures</t>
  </si>
  <si>
    <t>Hospital/Other Similar Structures</t>
  </si>
  <si>
    <t>Church/Other Religious Structures</t>
  </si>
  <si>
    <t>PHILIPPINES</t>
  </si>
  <si>
    <t xml:space="preserve">Abra                                              </t>
  </si>
  <si>
    <t xml:space="preserve">Benguet                                           </t>
  </si>
  <si>
    <t xml:space="preserve">Ifugao                                            </t>
  </si>
  <si>
    <t xml:space="preserve">Kalinga                                           </t>
  </si>
  <si>
    <t xml:space="preserve">Ilocos Norte                                      </t>
  </si>
  <si>
    <t xml:space="preserve">Ilocos Sur                                        </t>
  </si>
  <si>
    <t xml:space="preserve">La Union                                          </t>
  </si>
  <si>
    <t xml:space="preserve">Pangasinan                                        </t>
  </si>
  <si>
    <t xml:space="preserve">Batanes                                           </t>
  </si>
  <si>
    <t xml:space="preserve">Cagayan                                           </t>
  </si>
  <si>
    <t xml:space="preserve">Isabela                                           </t>
  </si>
  <si>
    <t xml:space="preserve">Quirino                                           </t>
  </si>
  <si>
    <t xml:space="preserve">Bataan                                            </t>
  </si>
  <si>
    <t xml:space="preserve">Bulacan                                           </t>
  </si>
  <si>
    <t xml:space="preserve">Nueva Ecija                                       </t>
  </si>
  <si>
    <t xml:space="preserve">Pampanga                                          </t>
  </si>
  <si>
    <t xml:space="preserve">Tarlac                                            </t>
  </si>
  <si>
    <t xml:space="preserve">Zambales                                          </t>
  </si>
  <si>
    <t xml:space="preserve">Aurora                                            </t>
  </si>
  <si>
    <t xml:space="preserve">Batangas                                          </t>
  </si>
  <si>
    <t xml:space="preserve">Cavite                                            </t>
  </si>
  <si>
    <t xml:space="preserve">Laguna                                            </t>
  </si>
  <si>
    <t xml:space="preserve">Quezon                                            </t>
  </si>
  <si>
    <t xml:space="preserve">Rizal                                             </t>
  </si>
  <si>
    <t xml:space="preserve">MIMAROPA Region                                   </t>
  </si>
  <si>
    <t xml:space="preserve">Marinduque                                        </t>
  </si>
  <si>
    <t xml:space="preserve">Oriental Mindoro                                  </t>
  </si>
  <si>
    <t xml:space="preserve">Palawan                                           </t>
  </si>
  <si>
    <t xml:space="preserve">Romblon                                           </t>
  </si>
  <si>
    <t xml:space="preserve">Albay                                             </t>
  </si>
  <si>
    <t xml:space="preserve">Camarines Norte                                   </t>
  </si>
  <si>
    <t xml:space="preserve">Camarines Sur                                     </t>
  </si>
  <si>
    <t xml:space="preserve">Catanduanes                                       </t>
  </si>
  <si>
    <t xml:space="preserve">Masbate                                           </t>
  </si>
  <si>
    <t xml:space="preserve">Sorsogon                                          </t>
  </si>
  <si>
    <t xml:space="preserve">Aklan                                             </t>
  </si>
  <si>
    <t xml:space="preserve">Antique                                           </t>
  </si>
  <si>
    <t xml:space="preserve">Capiz                                             </t>
  </si>
  <si>
    <t xml:space="preserve">Iloilo                                            </t>
  </si>
  <si>
    <t xml:space="preserve">Negros Occidental                                 </t>
  </si>
  <si>
    <t xml:space="preserve">Guimaras                                          </t>
  </si>
  <si>
    <t xml:space="preserve">Bohol                                             </t>
  </si>
  <si>
    <t xml:space="preserve">Cebu                                              </t>
  </si>
  <si>
    <t xml:space="preserve">Negros Oriental                                   </t>
  </si>
  <si>
    <t xml:space="preserve">Siquijor                                          </t>
  </si>
  <si>
    <t xml:space="preserve">Eastern Samar                                     </t>
  </si>
  <si>
    <t xml:space="preserve">Leyte                                             </t>
  </si>
  <si>
    <t xml:space="preserve">Northern Samar                                    </t>
  </si>
  <si>
    <t xml:space="preserve">Southern Leyte                                    </t>
  </si>
  <si>
    <t xml:space="preserve">Biliran                                           </t>
  </si>
  <si>
    <t xml:space="preserve">Zamboanga Sibugay                                 </t>
  </si>
  <si>
    <t xml:space="preserve">Bukidnon                                          </t>
  </si>
  <si>
    <t xml:space="preserve">Camiguin                                          </t>
  </si>
  <si>
    <t xml:space="preserve">Misamis Occidental                                </t>
  </si>
  <si>
    <t xml:space="preserve">Misamis Oriental                                  </t>
  </si>
  <si>
    <t xml:space="preserve">Davao de Oro                                      </t>
  </si>
  <si>
    <t xml:space="preserve">Davao Occidental                                  </t>
  </si>
  <si>
    <t xml:space="preserve">South Cotabato                                    </t>
  </si>
  <si>
    <t xml:space="preserve">Sultan Kudarat                                    </t>
  </si>
  <si>
    <t xml:space="preserve">Sarangani                                         </t>
  </si>
  <si>
    <t xml:space="preserve">City of Mandaluyong                              </t>
  </si>
  <si>
    <t xml:space="preserve">City of Marikina                                 </t>
  </si>
  <si>
    <t xml:space="preserve">City of Pasig                                    </t>
  </si>
  <si>
    <t xml:space="preserve">Quezon City                                      </t>
  </si>
  <si>
    <t xml:space="preserve">City of San Juan                                 </t>
  </si>
  <si>
    <t xml:space="preserve">City of Caloocan                                 </t>
  </si>
  <si>
    <t xml:space="preserve">City of Malabon                                  </t>
  </si>
  <si>
    <t xml:space="preserve">City of Navotas                                  </t>
  </si>
  <si>
    <t xml:space="preserve">City of Valenzuela                               </t>
  </si>
  <si>
    <t xml:space="preserve">City of Las Pinas                                </t>
  </si>
  <si>
    <t xml:space="preserve">City of Makati                                   </t>
  </si>
  <si>
    <t xml:space="preserve">City of Muntinlupa                               </t>
  </si>
  <si>
    <t xml:space="preserve">City of Paranaque                                </t>
  </si>
  <si>
    <t xml:space="preserve">Pasay City                                       </t>
  </si>
  <si>
    <t xml:space="preserve">Pateros                                          </t>
  </si>
  <si>
    <t xml:space="preserve">City of Taguig                                   </t>
  </si>
  <si>
    <t xml:space="preserve">City of Angeles                                  </t>
  </si>
  <si>
    <t xml:space="preserve">City of Olongapo                                 </t>
  </si>
  <si>
    <t xml:space="preserve">City of Lucena                                   </t>
  </si>
  <si>
    <t xml:space="preserve">City of Puerto Princesa                          </t>
  </si>
  <si>
    <t xml:space="preserve">City of Iloilo                                   </t>
  </si>
  <si>
    <t xml:space="preserve">City of Bacolod                                  </t>
  </si>
  <si>
    <t xml:space="preserve">City of Cebu                                     </t>
  </si>
  <si>
    <t xml:space="preserve">City of Lapu-Lapu                                </t>
  </si>
  <si>
    <t xml:space="preserve">City of Mandaue                                  </t>
  </si>
  <si>
    <t xml:space="preserve">City of Tacloban                                 </t>
  </si>
  <si>
    <t xml:space="preserve">City of Iligan                                   </t>
  </si>
  <si>
    <t xml:space="preserve">City of Davao                                    </t>
  </si>
  <si>
    <t xml:space="preserve">City of General Santos                           </t>
  </si>
  <si>
    <t xml:space="preserve">Bangsamoro Autonomous Region in Muslim Mindanao (BARMM)              </t>
  </si>
  <si>
    <t>Percent Share</t>
  </si>
  <si>
    <t xml:space="preserve">Apayao                                            </t>
  </si>
  <si>
    <t xml:space="preserve">Mountain Province                                 </t>
  </si>
  <si>
    <t xml:space="preserve">Nueva Vizcaya                                     </t>
  </si>
  <si>
    <t xml:space="preserve">Zamboanga del Norte                               </t>
  </si>
  <si>
    <t xml:space="preserve">Zamboanga del Sur                                 </t>
  </si>
  <si>
    <t xml:space="preserve">Lanao del Norte                                   </t>
  </si>
  <si>
    <t xml:space="preserve">Davao del Norte                                   </t>
  </si>
  <si>
    <t xml:space="preserve">Davao del Sur                                     </t>
  </si>
  <si>
    <t xml:space="preserve">Davao Oriental                                    </t>
  </si>
  <si>
    <t xml:space="preserve">Agusan del Norte                                  </t>
  </si>
  <si>
    <t xml:space="preserve">Agusan del Sur                                    </t>
  </si>
  <si>
    <t xml:space="preserve">Dinagat Islands                                   </t>
  </si>
  <si>
    <t xml:space="preserve">Surigao del Norte                                 </t>
  </si>
  <si>
    <t xml:space="preserve">Surigao del Sur                                   </t>
  </si>
  <si>
    <t>Note: Details of floor area and value may not add up to their respective totals due to rounding.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</si>
  <si>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</si>
  <si>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</si>
  <si>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</si>
  <si>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</si>
  <si>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</si>
  <si>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</si>
  <si>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</si>
  <si>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</si>
  <si>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</si>
  <si>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</si>
  <si>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</si>
  <si>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</si>
  <si>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</si>
  <si>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</si>
  <si>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</si>
  <si>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 xml:space="preserve">City of Manila                                    </t>
  </si>
  <si>
    <t xml:space="preserve">City of Baguio                                   </t>
  </si>
  <si>
    <t xml:space="preserve">Occidental Mindoro                                </t>
  </si>
  <si>
    <t xml:space="preserve">Cotabato                                          </t>
  </si>
  <si>
    <t xml:space="preserve">City of Butuan                                   </t>
  </si>
  <si>
    <t xml:space="preserve">City of Zamboanga                                </t>
  </si>
  <si>
    <t xml:space="preserve">Samar                                             </t>
  </si>
  <si>
    <t xml:space="preserve">City of Isabela                                  </t>
  </si>
  <si>
    <t xml:space="preserve">Lanao del Sur                                     </t>
  </si>
  <si>
    <t xml:space="preserve">Basilan (except Isabela City)                     </t>
  </si>
  <si>
    <t xml:space="preserve">Sulu                                              </t>
  </si>
  <si>
    <t xml:space="preserve">Tawi-Tawi                                         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</si>
  <si>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</si>
  <si>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</si>
  <si>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</si>
  <si>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 xml:space="preserve">Maguindanao del Norte                         </t>
  </si>
  <si>
    <t xml:space="preserve">Maguindanao del Sur         </t>
  </si>
  <si>
    <t>Negros Island Region (NR)</t>
  </si>
  <si>
    <t>Region/Province/HUC</t>
  </si>
  <si>
    <t>Special Geographic Area</t>
  </si>
  <si>
    <t xml:space="preserve">City of Cagayan De Oro                        </t>
  </si>
  <si>
    <t>Table 8. Number, Floor Area, and Value of Institutional Building Constructions by Type and by Province, and Highly Urbanized Cities (HUC): December 2025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</si>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</sst>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1"/>
      <color theme="1"/>
      <name val="Calibri"/>
      <family val="2"/>
      <scheme val="minor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43" fontId="11" fillId="0" borderId="0" applyFont="0" applyFill="0" applyBorder="0" applyAlignment="0" applyProtection="0"/>
  </cellStyleXfs>
  <cellXfs count="30">
    <xf numFmtId="0" fontId="0" fillId="0" borderId="0" xfId="0"/>
    <xf numFmtId="0" fontId="6" fillId="0" borderId="0" xfId="0" applyFont="1"/>
    <xf numFmtId="166" fontId="6" fillId="0" borderId="0" xfId="0" applyNumberFormat="1" applyFont="1"/>
    <xf numFmtId="165" fontId="6" fillId="0" borderId="0" xfId="0" applyNumberFormat="1" applyFont="1"/>
    <xf numFmtId="165" fontId="7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0" fontId="8" fillId="0" borderId="0" xfId="1" applyFont="1"/>
    <xf numFmtId="165" fontId="6" fillId="0" borderId="7" xfId="0" applyNumberFormat="1" applyFont="1" applyBorder="1"/>
    <xf numFmtId="0" fontId="8" fillId="0" borderId="0" xfId="1" quotePrefix="1" applyFont="1" applyAlignment="1">
      <alignment horizontal="left" vertical="center"/>
    </xf>
    <xf numFmtId="165" fontId="6" fillId="0" borderId="0" xfId="0" applyNumberFormat="1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10" fillId="0" borderId="0" xfId="0" applyNumberFormat="1" applyFont="1"/>
    <xf numFmtId="167" fontId="6" fillId="0" borderId="0" xfId="0" applyNumberFormat="1" applyFont="1"/>
    <xf numFmtId="168" fontId="6" fillId="0" borderId="0" xfId="3" applyNumberFormat="1" applyFont="1"/>
    <xf numFmtId="167" fontId="6" fillId="0" borderId="0" xfId="0" applyNumberFormat="1" applyFont="1" applyAlignment="1">
      <alignment horizontal="right"/>
    </xf>
    <xf numFmtId="168" fontId="6" fillId="0" borderId="0" xfId="3" applyNumberFormat="1" applyFont="1" applyAlignment="1">
      <alignment horizontal="right"/>
    </xf>
    <xf numFmtId="0" fontId="8" fillId="0" borderId="0" xfId="2" applyFont="1" applyAlignment="1">
      <alignment horizontal="left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68 2" xfId="1" xr:uid="{FD734C41-AC62-493A-A31C-6255ADE1CE43}"/>
    <cellStyle name="Normal 68 3" xfId="2" xr:uid="{831BC89C-1237-498F-B301-E99DD80107E3}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7F46-EC04-470E-A59D-C585D9A133D9}">
  <sheetPr codeName="Sheet11"/>
  <dimension ref="A1:S2385"/>
  <sheetViews>
    <sheetView tabSelected="1" zoomScale="70" zoomScaleNormal="70" zoomScaleSheetLayoutView="100" workbookViewId="0">
      <selection activeCell="K129" sqref="K129:S181"/>
    </sheetView>
  </sheetViews>
  <sheetFormatPr defaultColWidth="9.109375" defaultRowHeight="13.8" x14ac:dyDescent="0.3"/>
  <cols>
    <col min="1" max="1" width="29.6640625" style="1" customWidth="1"/>
    <col min="2" max="2" width="6.88671875" style="1" bestFit="1" customWidth="1"/>
    <col min="3" max="3" width="8.6640625" style="1" bestFit="1" customWidth="1"/>
    <col min="4" max="4" width="9.44140625" style="1" bestFit="1" customWidth="1"/>
    <col min="5" max="5" width="6.88671875" style="1" bestFit="1" customWidth="1"/>
    <col min="6" max="6" width="8.6640625" style="1" bestFit="1" customWidth="1"/>
    <col min="7" max="7" width="9.44140625" style="1" bestFit="1" customWidth="1"/>
    <col min="8" max="8" width="6.88671875" style="1" bestFit="1" customWidth="1"/>
    <col min="9" max="9" width="8.6640625" style="1" bestFit="1" customWidth="1"/>
    <col min="10" max="10" width="9.6640625" style="1" bestFit="1" customWidth="1"/>
    <col min="11" max="11" width="6.88671875" style="1" bestFit="1" customWidth="1"/>
    <col min="12" max="12" width="8.6640625" style="1" bestFit="1" customWidth="1"/>
    <col min="13" max="13" width="9.44140625" style="1" bestFit="1" customWidth="1"/>
    <col min="14" max="14" width="6.88671875" style="1" bestFit="1" customWidth="1"/>
    <col min="15" max="15" width="8.6640625" style="1" bestFit="1" customWidth="1"/>
    <col min="16" max="16" width="9.44140625" style="1" bestFit="1" customWidth="1"/>
    <col min="17" max="17" width="6.88671875" style="1" bestFit="1" customWidth="1"/>
    <col min="18" max="18" width="8.6640625" style="1" bestFit="1" customWidth="1"/>
    <col min="19" max="19" width="9.44140625" style="1" bestFit="1" customWidth="1"/>
    <col min="20" max="16384" width="9.109375" style="1"/>
  </cols>
  <sheetData>
    <row r="1" spans="1:19" ht="14.1" customHeight="1" x14ac:dyDescent="0.3">
      <c r="A1" s="23" t="s">
        <v>153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8.1" customHeight="1" x14ac:dyDescent="0.3"/>
    <row r="3" spans="1:19" ht="14.1" customHeight="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9" ht="24.9" customHeight="1" x14ac:dyDescent="0.3">
      <c r="A4" s="24" t="s">
        <v>150</v>
      </c>
      <c r="B4" s="27" t="s">
        <v>3</v>
      </c>
      <c r="C4" s="27"/>
      <c r="D4" s="27"/>
      <c r="E4" s="27" t="s">
        <v>5</v>
      </c>
      <c r="F4" s="27"/>
      <c r="G4" s="27"/>
      <c r="H4" s="27" t="s">
        <v>9</v>
      </c>
      <c r="I4" s="27"/>
      <c r="J4" s="28"/>
      <c r="K4" s="27" t="s">
        <v>8</v>
      </c>
      <c r="L4" s="27"/>
      <c r="M4" s="27"/>
      <c r="N4" s="27" t="s">
        <v>7</v>
      </c>
      <c r="O4" s="27"/>
      <c r="P4" s="27"/>
      <c r="Q4" s="27" t="s">
        <v>6</v>
      </c>
      <c r="R4" s="27"/>
      <c r="S4" s="28"/>
    </row>
    <row r="5" spans="1:19" ht="15" customHeight="1" x14ac:dyDescent="0.3">
      <c r="A5" s="25"/>
      <c r="B5" s="29" t="s">
        <v>0</v>
      </c>
      <c r="C5" s="14" t="s">
        <v>1</v>
      </c>
      <c r="D5" s="14" t="s">
        <v>2</v>
      </c>
      <c r="E5" s="29" t="s">
        <v>0</v>
      </c>
      <c r="F5" s="14" t="s">
        <v>1</v>
      </c>
      <c r="G5" s="14" t="s">
        <v>2</v>
      </c>
      <c r="H5" s="29" t="s">
        <v>0</v>
      </c>
      <c r="I5" s="14" t="s">
        <v>1</v>
      </c>
      <c r="J5" s="5" t="s">
        <v>2</v>
      </c>
      <c r="K5" s="29" t="s">
        <v>0</v>
      </c>
      <c r="L5" s="14" t="s">
        <v>1</v>
      </c>
      <c r="M5" s="14" t="s">
        <v>2</v>
      </c>
      <c r="N5" s="29" t="s">
        <v>0</v>
      </c>
      <c r="O5" s="14" t="s">
        <v>1</v>
      </c>
      <c r="P5" s="14" t="s">
        <v>2</v>
      </c>
      <c r="Q5" s="29" t="s">
        <v>0</v>
      </c>
      <c r="R5" s="14" t="s">
        <v>1</v>
      </c>
      <c r="S5" s="5" t="s">
        <v>2</v>
      </c>
    </row>
    <row r="6" spans="1:19" ht="15" customHeight="1" x14ac:dyDescent="0.3">
      <c r="A6" s="25"/>
      <c r="B6" s="29"/>
      <c r="C6" s="15" t="s">
        <v>4</v>
      </c>
      <c r="D6" s="15" t="s">
        <v>144</v>
      </c>
      <c r="E6" s="29"/>
      <c r="F6" s="15" t="s">
        <v>4</v>
      </c>
      <c r="G6" s="15" t="s">
        <v>144</v>
      </c>
      <c r="H6" s="29"/>
      <c r="I6" s="15" t="s">
        <v>4</v>
      </c>
      <c r="J6" s="6" t="s">
        <v>144</v>
      </c>
      <c r="K6" s="29"/>
      <c r="L6" s="15" t="s">
        <v>4</v>
      </c>
      <c r="M6" s="15" t="s">
        <v>144</v>
      </c>
      <c r="N6" s="29"/>
      <c r="O6" s="15" t="s">
        <v>4</v>
      </c>
      <c r="P6" s="15" t="s">
        <v>144</v>
      </c>
      <c r="Q6" s="29"/>
      <c r="R6" s="15" t="s">
        <v>4</v>
      </c>
      <c r="S6" s="6" t="s">
        <v>144</v>
      </c>
    </row>
    <row r="7" spans="1:19" ht="15" customHeight="1" x14ac:dyDescent="0.3">
      <c r="A7" s="26"/>
      <c r="B7" s="7">
        <v>-1</v>
      </c>
      <c r="C7" s="7">
        <v>-2</v>
      </c>
      <c r="D7" s="7">
        <v>-3</v>
      </c>
      <c r="E7" s="7">
        <v>-4</v>
      </c>
      <c r="F7" s="7">
        <v>-5</v>
      </c>
      <c r="G7" s="7">
        <v>-6</v>
      </c>
      <c r="H7" s="7">
        <v>-7</v>
      </c>
      <c r="I7" s="7">
        <v>-8</v>
      </c>
      <c r="J7" s="8">
        <v>-9</v>
      </c>
      <c r="K7" s="7">
        <v>-10</v>
      </c>
      <c r="L7" s="7">
        <v>-11</v>
      </c>
      <c r="M7" s="7">
        <v>-12</v>
      </c>
      <c r="N7" s="7">
        <v>-13</v>
      </c>
      <c r="O7" s="7">
        <v>-14</v>
      </c>
      <c r="P7" s="7">
        <v>-15</v>
      </c>
      <c r="Q7" s="7">
        <v>-16</v>
      </c>
      <c r="R7" s="7">
        <v>-17</v>
      </c>
      <c r="S7" s="8">
        <v>-18</v>
      </c>
    </row>
    <row r="8" spans="1:19" s="3" customFormat="1" x14ac:dyDescent="0.3"/>
    <row r="9" spans="1:19" s="3" customFormat="1" x14ac:dyDescent="0.3">
      <c r="A9" s="4" t="s">
        <v>10</v>
      </c>
      <c r="B9" s="4">
        <v>497</v>
      </c>
      <c r="C9" s="4">
        <v>467862</v>
      </c>
      <c r="D9" s="4">
        <v>7068697.1129999999</v>
      </c>
      <c r="E9" s="4">
        <v>136</v>
      </c>
      <c r="F9" s="4">
        <v>110901</v>
      </c>
      <c r="G9" s="4">
        <v>1488016.263</v>
      </c>
      <c r="H9" s="4">
        <v>61</v>
      </c>
      <c r="I9" s="4">
        <v>18360</v>
      </c>
      <c r="J9" s="4">
        <v>262619.40399999998</v>
      </c>
      <c r="K9" s="4">
        <v>46</v>
      </c>
      <c r="L9" s="4">
        <v>23766</v>
      </c>
      <c r="M9" s="4">
        <v>265963.21799999999</v>
      </c>
      <c r="N9" s="4">
        <v>13</v>
      </c>
      <c r="O9" s="4">
        <v>31504</v>
      </c>
      <c r="P9" s="4">
        <v>1002385.792</v>
      </c>
      <c r="Q9" s="4">
        <v>241</v>
      </c>
      <c r="R9" s="4">
        <v>283331</v>
      </c>
      <c r="S9" s="4">
        <v>4049712.4360000002</v>
      </c>
    </row>
    <row r="10" spans="1:19" s="3" customForma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s="3" customFormat="1" x14ac:dyDescent="0.3">
      <c r="A11" s="3" t="s">
        <v>117</v>
      </c>
      <c r="B11" s="3">
        <v>8</v>
      </c>
      <c r="C11" s="3">
        <v>24376</v>
      </c>
      <c r="D11" s="3">
        <v>688379.21400000004</v>
      </c>
      <c r="E11" s="3">
        <v>4</v>
      </c>
      <c r="F11" s="3">
        <v>2710</v>
      </c>
      <c r="G11" s="3">
        <v>24173.692999999999</v>
      </c>
      <c r="H11" s="3">
        <v>0</v>
      </c>
      <c r="I11" s="3">
        <v>0</v>
      </c>
      <c r="J11" s="3">
        <v>0</v>
      </c>
      <c r="K11" s="3">
        <v>2</v>
      </c>
      <c r="L11" s="3">
        <v>490</v>
      </c>
      <c r="M11" s="3">
        <v>4212.6989999999996</v>
      </c>
      <c r="N11" s="3">
        <v>0</v>
      </c>
      <c r="O11" s="3">
        <v>0</v>
      </c>
      <c r="P11" s="3">
        <v>0</v>
      </c>
      <c r="Q11" s="3">
        <v>2</v>
      </c>
      <c r="R11" s="3">
        <v>21176</v>
      </c>
      <c r="S11" s="3">
        <v>659992.82200000004</v>
      </c>
    </row>
    <row r="12" spans="1:19" s="3" customFormat="1" x14ac:dyDescent="0.3">
      <c r="A12" s="3" t="s">
        <v>101</v>
      </c>
      <c r="B12" s="17">
        <v>1.6096579476861168</v>
      </c>
      <c r="C12" s="17">
        <v>5.2100833151655834</v>
      </c>
      <c r="D12" s="17">
        <v>9.7384171792282039</v>
      </c>
      <c r="E12" s="17">
        <v>2.9411764705882351</v>
      </c>
      <c r="F12" s="17">
        <v>2.4436208870975014</v>
      </c>
      <c r="G12" s="17">
        <v>1.6245583869670381</v>
      </c>
      <c r="H12" s="17">
        <v>0</v>
      </c>
      <c r="I12" s="17">
        <v>0</v>
      </c>
      <c r="J12" s="17">
        <v>0</v>
      </c>
      <c r="K12" s="17">
        <v>4.3478260869565215</v>
      </c>
      <c r="L12" s="17">
        <v>2.0617689135740132</v>
      </c>
      <c r="M12" s="17">
        <v>1.5839404529990306</v>
      </c>
      <c r="N12" s="17">
        <v>0</v>
      </c>
      <c r="O12" s="17">
        <v>0</v>
      </c>
      <c r="P12" s="17">
        <v>0</v>
      </c>
      <c r="Q12" s="17">
        <v>0.82987551867219922</v>
      </c>
      <c r="R12" s="17">
        <v>7.4739439030674371</v>
      </c>
      <c r="S12" s="17">
        <v>16.297276224676612</v>
      </c>
    </row>
    <row r="13" spans="1:19" s="3" customFormat="1" x14ac:dyDescent="0.3">
      <c r="A13" s="3" t="s">
        <v>76</v>
      </c>
      <c r="B13" s="3">
        <v>1</v>
      </c>
      <c r="C13" s="3">
        <v>147</v>
      </c>
      <c r="D13" s="3">
        <v>2310.2269999999999</v>
      </c>
      <c r="E13" s="3">
        <v>1</v>
      </c>
      <c r="F13" s="3">
        <v>147</v>
      </c>
      <c r="G13" s="3">
        <v>2310.2269999999999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s="3" customFormat="1" x14ac:dyDescent="0.3">
      <c r="A14" s="3" t="s">
        <v>80</v>
      </c>
      <c r="B14" s="3">
        <v>1</v>
      </c>
      <c r="C14" s="3">
        <v>250</v>
      </c>
      <c r="D14" s="3">
        <v>10000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250</v>
      </c>
      <c r="S14" s="3">
        <v>10000</v>
      </c>
    </row>
    <row r="15" spans="1:19" s="3" customFormat="1" x14ac:dyDescent="0.3">
      <c r="A15" s="3" t="s">
        <v>81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s="3" customFormat="1" x14ac:dyDescent="0.3">
      <c r="A16" s="3" t="s">
        <v>77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s="3" customFormat="1" x14ac:dyDescent="0.3">
      <c r="A17" s="3" t="s">
        <v>71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1:19" s="3" customFormat="1" x14ac:dyDescent="0.3">
      <c r="A18" s="3" t="s">
        <v>132</v>
      </c>
      <c r="B18" s="3">
        <v>1</v>
      </c>
      <c r="C18" s="3">
        <v>1790</v>
      </c>
      <c r="D18" s="3">
        <v>19409.198</v>
      </c>
      <c r="E18" s="3">
        <v>1</v>
      </c>
      <c r="F18" s="3">
        <v>1790</v>
      </c>
      <c r="G18" s="3">
        <v>19409.198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s="3" customFormat="1" x14ac:dyDescent="0.3">
      <c r="A19" s="3" t="s">
        <v>72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spans="1:19" s="3" customFormat="1" x14ac:dyDescent="0.3">
      <c r="A20" s="3" t="s">
        <v>82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1:19" s="3" customFormat="1" x14ac:dyDescent="0.3">
      <c r="A21" s="3" t="s">
        <v>78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1:19" s="3" customFormat="1" x14ac:dyDescent="0.3">
      <c r="A22" s="3" t="s">
        <v>83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1:19" s="3" customFormat="1" x14ac:dyDescent="0.3">
      <c r="A23" s="3" t="s">
        <v>84</v>
      </c>
      <c r="B23" s="3">
        <v>1</v>
      </c>
      <c r="C23" s="3">
        <v>9</v>
      </c>
      <c r="D23" s="3">
        <v>167.4</v>
      </c>
      <c r="E23" s="3">
        <v>1</v>
      </c>
      <c r="F23" s="3">
        <v>9</v>
      </c>
      <c r="G23" s="3">
        <v>167.4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s="3" customFormat="1" x14ac:dyDescent="0.3">
      <c r="A24" s="3" t="s">
        <v>73</v>
      </c>
      <c r="B24" s="3">
        <v>1</v>
      </c>
      <c r="C24" s="3">
        <v>177</v>
      </c>
      <c r="D24" s="3">
        <v>2702.6689999999999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</v>
      </c>
      <c r="L24" s="3">
        <v>177</v>
      </c>
      <c r="M24" s="3">
        <v>2702.6689999999999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 s="3" customFormat="1" x14ac:dyDescent="0.3">
      <c r="A25" s="3" t="s">
        <v>74</v>
      </c>
      <c r="B25" s="3">
        <v>3</v>
      </c>
      <c r="C25" s="3">
        <v>22003</v>
      </c>
      <c r="D25" s="3">
        <v>653789.72000000009</v>
      </c>
      <c r="E25" s="3">
        <v>1</v>
      </c>
      <c r="F25" s="3">
        <v>764</v>
      </c>
      <c r="G25" s="3">
        <v>2286.8679999999999</v>
      </c>
      <c r="H25" s="3">
        <v>0</v>
      </c>
      <c r="I25" s="3">
        <v>0</v>
      </c>
      <c r="J25" s="3">
        <v>0</v>
      </c>
      <c r="K25" s="3">
        <v>1</v>
      </c>
      <c r="L25" s="3">
        <v>313</v>
      </c>
      <c r="M25" s="3">
        <v>1510.03</v>
      </c>
      <c r="N25" s="3">
        <v>0</v>
      </c>
      <c r="O25" s="3">
        <v>0</v>
      </c>
      <c r="P25" s="3">
        <v>0</v>
      </c>
      <c r="Q25" s="3">
        <v>1</v>
      </c>
      <c r="R25" s="3">
        <v>20926</v>
      </c>
      <c r="S25" s="3">
        <v>649992.82200000004</v>
      </c>
    </row>
    <row r="26" spans="1:19" s="3" customFormat="1" x14ac:dyDescent="0.3">
      <c r="A26" s="3" t="s">
        <v>75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1:19" s="3" customFormat="1" x14ac:dyDescent="0.3">
      <c r="A27" s="3" t="s">
        <v>86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1:19" s="3" customFormat="1" x14ac:dyDescent="0.3">
      <c r="A28" s="3" t="s">
        <v>79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 s="3" customFormat="1" x14ac:dyDescent="0.3">
      <c r="A29" s="3" t="s">
        <v>85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 s="3" customFormat="1" x14ac:dyDescent="0.3"/>
    <row r="31" spans="1:19" s="3" customFormat="1" x14ac:dyDescent="0.3">
      <c r="A31" s="3" t="s">
        <v>118</v>
      </c>
      <c r="B31" s="3">
        <v>9</v>
      </c>
      <c r="C31" s="3">
        <v>10473</v>
      </c>
      <c r="D31" s="3">
        <v>441011.18400000001</v>
      </c>
      <c r="E31" s="3">
        <v>0</v>
      </c>
      <c r="F31" s="3">
        <v>0</v>
      </c>
      <c r="G31" s="3">
        <v>0</v>
      </c>
      <c r="H31" s="3">
        <v>1</v>
      </c>
      <c r="I31" s="3">
        <v>182</v>
      </c>
      <c r="J31" s="3">
        <v>1815.357</v>
      </c>
      <c r="K31" s="3">
        <v>0</v>
      </c>
      <c r="L31" s="3">
        <v>0</v>
      </c>
      <c r="M31" s="3">
        <v>0</v>
      </c>
      <c r="N31" s="3">
        <v>1</v>
      </c>
      <c r="O31" s="3">
        <v>7945</v>
      </c>
      <c r="P31" s="3">
        <v>419006.59700000001</v>
      </c>
      <c r="Q31" s="3">
        <v>7</v>
      </c>
      <c r="R31" s="3">
        <v>2346</v>
      </c>
      <c r="S31" s="3">
        <v>20189.23</v>
      </c>
    </row>
    <row r="32" spans="1:19" s="3" customFormat="1" x14ac:dyDescent="0.3">
      <c r="A32" s="3" t="s">
        <v>101</v>
      </c>
      <c r="B32" s="17">
        <v>1.8108651911468814</v>
      </c>
      <c r="C32" s="17">
        <v>2.2384805776062175</v>
      </c>
      <c r="D32" s="17">
        <v>6.2389316864198197</v>
      </c>
      <c r="E32" s="17">
        <v>0</v>
      </c>
      <c r="F32" s="17">
        <v>0</v>
      </c>
      <c r="G32" s="17">
        <v>0</v>
      </c>
      <c r="H32" s="17">
        <v>1.639344262295082</v>
      </c>
      <c r="I32" s="17">
        <v>0.99128540305010904</v>
      </c>
      <c r="J32" s="17">
        <v>0.69125014083117786</v>
      </c>
      <c r="K32" s="17">
        <v>0</v>
      </c>
      <c r="L32" s="17">
        <v>0</v>
      </c>
      <c r="M32" s="17">
        <v>0</v>
      </c>
      <c r="N32" s="17">
        <v>7.6923076923076925</v>
      </c>
      <c r="O32" s="17">
        <v>25.219019807008635</v>
      </c>
      <c r="P32" s="17">
        <v>41.800931372339321</v>
      </c>
      <c r="Q32" s="17">
        <v>2.904564315352697</v>
      </c>
      <c r="R32" s="17">
        <v>0.82800681887968497</v>
      </c>
      <c r="S32" s="17">
        <v>0.49853490387434513</v>
      </c>
    </row>
    <row r="33" spans="1:19" s="3" customFormat="1" x14ac:dyDescent="0.3">
      <c r="A33" s="3" t="s">
        <v>11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 s="3" customFormat="1" x14ac:dyDescent="0.3">
      <c r="A34" s="3" t="s">
        <v>102</v>
      </c>
      <c r="B34" s="3">
        <v>2</v>
      </c>
      <c r="C34" s="3">
        <v>224</v>
      </c>
      <c r="D34" s="3">
        <v>2351.5430000000001</v>
      </c>
      <c r="E34" s="3">
        <v>0</v>
      </c>
      <c r="F34" s="3">
        <v>0</v>
      </c>
      <c r="G34" s="3">
        <v>0</v>
      </c>
      <c r="H34" s="3">
        <v>1</v>
      </c>
      <c r="I34" s="3">
        <v>182</v>
      </c>
      <c r="J34" s="3">
        <v>1815.357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42</v>
      </c>
      <c r="S34" s="3">
        <v>536.18600000000004</v>
      </c>
    </row>
    <row r="35" spans="1:19" s="3" customFormat="1" x14ac:dyDescent="0.3">
      <c r="A35" s="3" t="s">
        <v>12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6" spans="1:19" s="3" customFormat="1" x14ac:dyDescent="0.3">
      <c r="A36" s="3" t="s">
        <v>13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spans="1:19" s="3" customFormat="1" x14ac:dyDescent="0.3">
      <c r="A37" s="3" t="s">
        <v>14</v>
      </c>
      <c r="B37" s="3">
        <v>6</v>
      </c>
      <c r="C37" s="3">
        <v>2304</v>
      </c>
      <c r="D37" s="3">
        <v>19653.044000000002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6</v>
      </c>
      <c r="R37" s="3">
        <v>2304</v>
      </c>
      <c r="S37" s="3">
        <v>19653.044000000002</v>
      </c>
    </row>
    <row r="38" spans="1:19" s="3" customFormat="1" x14ac:dyDescent="0.3">
      <c r="A38" s="3" t="s">
        <v>103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s="3" customFormat="1" x14ac:dyDescent="0.3">
      <c r="A39" s="9" t="s">
        <v>133</v>
      </c>
      <c r="B39" s="3">
        <v>1</v>
      </c>
      <c r="C39" s="3">
        <v>7945</v>
      </c>
      <c r="D39" s="3">
        <v>419006.59700000001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</v>
      </c>
      <c r="O39" s="3">
        <v>7945</v>
      </c>
      <c r="P39" s="3">
        <v>419006.59700000001</v>
      </c>
      <c r="Q39" s="3">
        <v>0</v>
      </c>
      <c r="R39" s="3">
        <v>0</v>
      </c>
      <c r="S39" s="3">
        <v>0</v>
      </c>
    </row>
    <row r="40" spans="1:19" s="3" customFormat="1" x14ac:dyDescent="0.3"/>
    <row r="41" spans="1:19" s="3" customFormat="1" x14ac:dyDescent="0.3">
      <c r="A41" s="3" t="s">
        <v>119</v>
      </c>
      <c r="B41" s="3">
        <v>53</v>
      </c>
      <c r="C41" s="3">
        <v>34451</v>
      </c>
      <c r="D41" s="3">
        <v>428592.41600000003</v>
      </c>
      <c r="E41" s="3">
        <v>21</v>
      </c>
      <c r="F41" s="3">
        <v>20667</v>
      </c>
      <c r="G41" s="3">
        <v>256810.467</v>
      </c>
      <c r="H41" s="3">
        <v>7</v>
      </c>
      <c r="I41" s="3">
        <v>1078</v>
      </c>
      <c r="J41" s="3">
        <v>13328.878000000001</v>
      </c>
      <c r="K41" s="3">
        <v>3</v>
      </c>
      <c r="L41" s="3">
        <v>2073</v>
      </c>
      <c r="M41" s="3">
        <v>21791.742999999999</v>
      </c>
      <c r="N41" s="3">
        <v>0</v>
      </c>
      <c r="O41" s="3">
        <v>0</v>
      </c>
      <c r="P41" s="3">
        <v>0</v>
      </c>
      <c r="Q41" s="3">
        <v>22</v>
      </c>
      <c r="R41" s="3">
        <v>10633</v>
      </c>
      <c r="S41" s="3">
        <v>136661.32800000001</v>
      </c>
    </row>
    <row r="42" spans="1:19" s="3" customFormat="1" x14ac:dyDescent="0.3">
      <c r="A42" s="3" t="s">
        <v>101</v>
      </c>
      <c r="B42" s="17">
        <v>10.663983903420524</v>
      </c>
      <c r="C42" s="17">
        <v>7.3634960736285491</v>
      </c>
      <c r="D42" s="17">
        <v>6.0632448830178083</v>
      </c>
      <c r="E42" s="17">
        <v>15.441176470588236</v>
      </c>
      <c r="F42" s="17">
        <v>18.635539805772716</v>
      </c>
      <c r="G42" s="17">
        <v>17.258579317019198</v>
      </c>
      <c r="H42" s="17">
        <v>11.475409836065573</v>
      </c>
      <c r="I42" s="17">
        <v>5.8714596949891069</v>
      </c>
      <c r="J42" s="17">
        <v>5.0753591688145026</v>
      </c>
      <c r="K42" s="17">
        <v>6.5217391304347823</v>
      </c>
      <c r="L42" s="19">
        <v>8.7225448119161832</v>
      </c>
      <c r="M42" s="19">
        <v>8.193517571290629</v>
      </c>
      <c r="N42" s="17">
        <v>0</v>
      </c>
      <c r="O42" s="17">
        <v>0</v>
      </c>
      <c r="P42" s="17">
        <v>0</v>
      </c>
      <c r="Q42" s="17">
        <v>9.1286307053941904</v>
      </c>
      <c r="R42" s="17">
        <v>3.7528544352718201</v>
      </c>
      <c r="S42" s="17">
        <v>3.3745933855734149</v>
      </c>
    </row>
    <row r="43" spans="1:19" s="3" customFormat="1" x14ac:dyDescent="0.3">
      <c r="A43" s="3" t="s">
        <v>15</v>
      </c>
      <c r="B43" s="3">
        <v>18</v>
      </c>
      <c r="C43" s="3">
        <v>7338</v>
      </c>
      <c r="D43" s="3">
        <v>144014.77900000001</v>
      </c>
      <c r="E43" s="3">
        <v>4</v>
      </c>
      <c r="F43" s="3">
        <v>2909</v>
      </c>
      <c r="G43" s="3">
        <v>76657.721000000005</v>
      </c>
      <c r="H43" s="3">
        <v>6</v>
      </c>
      <c r="I43" s="3">
        <v>934</v>
      </c>
      <c r="J43" s="3">
        <v>11236.44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8</v>
      </c>
      <c r="R43" s="3">
        <v>3495</v>
      </c>
      <c r="S43" s="3">
        <v>56120.618000000002</v>
      </c>
    </row>
    <row r="44" spans="1:19" s="3" customFormat="1" x14ac:dyDescent="0.3">
      <c r="A44" s="3" t="s">
        <v>16</v>
      </c>
      <c r="B44" s="3">
        <v>6</v>
      </c>
      <c r="C44" s="3">
        <v>2054</v>
      </c>
      <c r="D44" s="3">
        <v>39903.638000000006</v>
      </c>
      <c r="E44" s="3">
        <v>4</v>
      </c>
      <c r="F44" s="3">
        <v>1806</v>
      </c>
      <c r="G44" s="3">
        <v>34904.461000000003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2</v>
      </c>
      <c r="R44" s="3">
        <v>248</v>
      </c>
      <c r="S44" s="3">
        <v>4999.1769999999997</v>
      </c>
    </row>
    <row r="45" spans="1:19" s="3" customFormat="1" x14ac:dyDescent="0.3">
      <c r="A45" s="3" t="s">
        <v>17</v>
      </c>
      <c r="B45" s="3">
        <v>4</v>
      </c>
      <c r="C45" s="3">
        <v>219</v>
      </c>
      <c r="D45" s="3">
        <v>4611.9650000000001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2</v>
      </c>
      <c r="L45" s="3">
        <v>73</v>
      </c>
      <c r="M45" s="3">
        <v>791.74300000000005</v>
      </c>
      <c r="N45" s="3">
        <v>0</v>
      </c>
      <c r="O45" s="3">
        <v>0</v>
      </c>
      <c r="P45" s="3">
        <v>0</v>
      </c>
      <c r="Q45" s="3">
        <v>2</v>
      </c>
      <c r="R45" s="3">
        <v>146</v>
      </c>
      <c r="S45" s="3">
        <v>3820.2220000000002</v>
      </c>
    </row>
    <row r="46" spans="1:19" s="3" customFormat="1" x14ac:dyDescent="0.3">
      <c r="A46" s="3" t="s">
        <v>18</v>
      </c>
      <c r="B46" s="3">
        <v>25</v>
      </c>
      <c r="C46" s="3">
        <v>24840</v>
      </c>
      <c r="D46" s="3">
        <v>240062.03400000001</v>
      </c>
      <c r="E46" s="3">
        <v>13</v>
      </c>
      <c r="F46" s="3">
        <v>15952</v>
      </c>
      <c r="G46" s="3">
        <v>145248.285</v>
      </c>
      <c r="H46" s="3">
        <v>1</v>
      </c>
      <c r="I46" s="3">
        <v>144</v>
      </c>
      <c r="J46" s="3">
        <v>2092.4380000000001</v>
      </c>
      <c r="K46" s="3">
        <v>1</v>
      </c>
      <c r="L46" s="3">
        <v>2000</v>
      </c>
      <c r="M46" s="3">
        <v>21000</v>
      </c>
      <c r="N46" s="3">
        <v>0</v>
      </c>
      <c r="O46" s="3">
        <v>0</v>
      </c>
      <c r="P46" s="3">
        <v>0</v>
      </c>
      <c r="Q46" s="3">
        <v>10</v>
      </c>
      <c r="R46" s="3">
        <v>6744</v>
      </c>
      <c r="S46" s="3">
        <v>71721.311000000002</v>
      </c>
    </row>
    <row r="47" spans="1:19" s="3" customFormat="1" x14ac:dyDescent="0.3"/>
    <row r="48" spans="1:19" s="3" customFormat="1" x14ac:dyDescent="0.3">
      <c r="A48" s="3" t="s">
        <v>120</v>
      </c>
      <c r="B48" s="3">
        <v>19</v>
      </c>
      <c r="C48" s="3">
        <v>6840</v>
      </c>
      <c r="D48" s="3">
        <v>102751.22199999999</v>
      </c>
      <c r="E48" s="3">
        <v>9</v>
      </c>
      <c r="F48" s="3">
        <v>4521</v>
      </c>
      <c r="G48" s="3">
        <v>66844.858999999997</v>
      </c>
      <c r="H48" s="3">
        <v>2</v>
      </c>
      <c r="I48" s="3">
        <v>344</v>
      </c>
      <c r="J48" s="3">
        <v>7794.5469999999996</v>
      </c>
      <c r="K48" s="3">
        <v>1</v>
      </c>
      <c r="L48" s="3">
        <v>27</v>
      </c>
      <c r="M48" s="3">
        <v>562.00900000000001</v>
      </c>
      <c r="N48" s="3">
        <v>0</v>
      </c>
      <c r="O48" s="3">
        <v>0</v>
      </c>
      <c r="P48" s="3">
        <v>0</v>
      </c>
      <c r="Q48" s="3">
        <v>7</v>
      </c>
      <c r="R48" s="3">
        <v>1948</v>
      </c>
      <c r="S48" s="3">
        <v>27549.807000000001</v>
      </c>
    </row>
    <row r="49" spans="1:19" s="3" customFormat="1" x14ac:dyDescent="0.3">
      <c r="A49" s="3" t="s">
        <v>101</v>
      </c>
      <c r="B49" s="17">
        <v>3.8229376257545273</v>
      </c>
      <c r="C49" s="17">
        <v>1.4619695551252292</v>
      </c>
      <c r="D49" s="17">
        <v>1.4536090648307849</v>
      </c>
      <c r="E49" s="17">
        <v>6.6176470588235299</v>
      </c>
      <c r="F49" s="17">
        <v>4.0766088673681935</v>
      </c>
      <c r="G49" s="17">
        <v>4.492212932218469</v>
      </c>
      <c r="H49" s="17">
        <v>3.278688524590164</v>
      </c>
      <c r="I49" s="19">
        <v>1.8736383442265796</v>
      </c>
      <c r="J49" s="19">
        <v>2.9680011763334897</v>
      </c>
      <c r="K49" s="17">
        <v>2.1739130434782608</v>
      </c>
      <c r="L49" s="19">
        <v>0.11360767482958849</v>
      </c>
      <c r="M49" s="17">
        <v>0.21131079862328933</v>
      </c>
      <c r="N49" s="17">
        <v>0</v>
      </c>
      <c r="O49" s="17">
        <v>0</v>
      </c>
      <c r="P49" s="17">
        <v>0</v>
      </c>
      <c r="Q49" s="17">
        <v>2.904564315352697</v>
      </c>
      <c r="R49" s="17">
        <v>0.68753507381825496</v>
      </c>
      <c r="S49" s="17">
        <v>0.68029045112179909</v>
      </c>
    </row>
    <row r="50" spans="1:19" s="3" customFormat="1" x14ac:dyDescent="0.3">
      <c r="A50" s="3" t="s">
        <v>19</v>
      </c>
      <c r="B50" s="3">
        <v>1</v>
      </c>
      <c r="C50" s="3">
        <v>570</v>
      </c>
      <c r="D50" s="3">
        <v>9603.1669999999995</v>
      </c>
      <c r="E50" s="3">
        <v>1</v>
      </c>
      <c r="F50" s="3">
        <v>570</v>
      </c>
      <c r="G50" s="3">
        <v>9603.1669999999995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1:19" s="3" customFormat="1" x14ac:dyDescent="0.3">
      <c r="A51" s="3" t="s">
        <v>20</v>
      </c>
      <c r="B51" s="3">
        <v>2</v>
      </c>
      <c r="C51" s="3">
        <v>37</v>
      </c>
      <c r="D51" s="3">
        <v>409.38499999999999</v>
      </c>
      <c r="E51" s="3">
        <v>2</v>
      </c>
      <c r="F51" s="3">
        <v>37</v>
      </c>
      <c r="G51" s="3">
        <v>409.38499999999999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s="3" customFormat="1" x14ac:dyDescent="0.3">
      <c r="A52" s="3" t="s">
        <v>21</v>
      </c>
      <c r="B52" s="3">
        <v>11</v>
      </c>
      <c r="C52" s="3">
        <v>3170</v>
      </c>
      <c r="D52" s="3">
        <v>46174.353999999999</v>
      </c>
      <c r="E52" s="3">
        <v>3</v>
      </c>
      <c r="F52" s="3">
        <v>1213</v>
      </c>
      <c r="G52" s="3">
        <v>14345.307000000001</v>
      </c>
      <c r="H52" s="3">
        <v>1</v>
      </c>
      <c r="I52" s="3">
        <v>252</v>
      </c>
      <c r="J52" s="3">
        <v>7182.2309999999998</v>
      </c>
      <c r="K52" s="3">
        <v>1</v>
      </c>
      <c r="L52" s="3">
        <v>27</v>
      </c>
      <c r="M52" s="3">
        <v>562.00900000000001</v>
      </c>
      <c r="N52" s="3">
        <v>0</v>
      </c>
      <c r="O52" s="3">
        <v>0</v>
      </c>
      <c r="P52" s="3">
        <v>0</v>
      </c>
      <c r="Q52" s="3">
        <v>6</v>
      </c>
      <c r="R52" s="3">
        <v>1678</v>
      </c>
      <c r="S52" s="3">
        <v>24084.807000000001</v>
      </c>
    </row>
    <row r="53" spans="1:19" s="3" customFormat="1" x14ac:dyDescent="0.3">
      <c r="A53" s="3" t="s">
        <v>104</v>
      </c>
      <c r="B53" s="3">
        <v>4</v>
      </c>
      <c r="C53" s="3">
        <v>2971</v>
      </c>
      <c r="D53" s="3">
        <v>45952</v>
      </c>
      <c r="E53" s="3">
        <v>3</v>
      </c>
      <c r="F53" s="3">
        <v>2701</v>
      </c>
      <c r="G53" s="3">
        <v>42487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1</v>
      </c>
      <c r="R53" s="3">
        <v>270</v>
      </c>
      <c r="S53" s="3">
        <v>3465</v>
      </c>
    </row>
    <row r="54" spans="1:19" s="3" customFormat="1" x14ac:dyDescent="0.3">
      <c r="A54" s="3" t="s">
        <v>22</v>
      </c>
      <c r="B54" s="3">
        <v>1</v>
      </c>
      <c r="C54" s="3">
        <v>92</v>
      </c>
      <c r="D54" s="3">
        <v>612.31600000000003</v>
      </c>
      <c r="E54" s="3">
        <v>0</v>
      </c>
      <c r="F54" s="3">
        <v>0</v>
      </c>
      <c r="G54" s="3">
        <v>0</v>
      </c>
      <c r="H54" s="3">
        <v>1</v>
      </c>
      <c r="I54" s="3">
        <v>92</v>
      </c>
      <c r="J54" s="3">
        <v>612.31600000000003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1:19" s="3" customFormat="1" x14ac:dyDescent="0.3"/>
    <row r="56" spans="1:19" s="3" customFormat="1" x14ac:dyDescent="0.3">
      <c r="A56" s="3" t="s">
        <v>121</v>
      </c>
      <c r="B56" s="3">
        <v>51</v>
      </c>
      <c r="C56" s="3">
        <v>25018</v>
      </c>
      <c r="D56" s="3">
        <v>406812.652</v>
      </c>
      <c r="E56" s="3">
        <v>16</v>
      </c>
      <c r="F56" s="3">
        <v>13124</v>
      </c>
      <c r="G56" s="3">
        <v>195083.894</v>
      </c>
      <c r="H56" s="3">
        <v>7</v>
      </c>
      <c r="I56" s="3">
        <v>954</v>
      </c>
      <c r="J56" s="3">
        <v>32879.463000000003</v>
      </c>
      <c r="K56" s="3">
        <v>7</v>
      </c>
      <c r="L56" s="3">
        <v>1442</v>
      </c>
      <c r="M56" s="3">
        <v>24645.198</v>
      </c>
      <c r="N56" s="3">
        <v>0</v>
      </c>
      <c r="O56" s="3">
        <v>0</v>
      </c>
      <c r="P56" s="3">
        <v>0</v>
      </c>
      <c r="Q56" s="3">
        <v>21</v>
      </c>
      <c r="R56" s="3">
        <v>9498</v>
      </c>
      <c r="S56" s="3">
        <v>154204.09700000001</v>
      </c>
    </row>
    <row r="57" spans="1:19" s="3" customFormat="1" x14ac:dyDescent="0.3">
      <c r="A57" s="3" t="s">
        <v>101</v>
      </c>
      <c r="B57" s="17">
        <v>10.261569416498995</v>
      </c>
      <c r="C57" s="17">
        <v>5.3473032646378638</v>
      </c>
      <c r="D57" s="17">
        <v>5.7551292055198298</v>
      </c>
      <c r="E57" s="17">
        <v>11.76470588235294</v>
      </c>
      <c r="F57" s="17">
        <v>11.833978052497272</v>
      </c>
      <c r="G57" s="17">
        <v>13.110333458768118</v>
      </c>
      <c r="H57" s="17">
        <v>11.475409836065573</v>
      </c>
      <c r="I57" s="17">
        <v>5.1960784313725492</v>
      </c>
      <c r="J57" s="17">
        <v>12.519814796320231</v>
      </c>
      <c r="K57" s="17">
        <v>15.217391304347828</v>
      </c>
      <c r="L57" s="17">
        <v>6.0674913742320964</v>
      </c>
      <c r="M57" s="17">
        <v>9.2663933702291121</v>
      </c>
      <c r="N57" s="17">
        <v>0</v>
      </c>
      <c r="O57" s="17">
        <v>0</v>
      </c>
      <c r="P57" s="17">
        <v>0</v>
      </c>
      <c r="Q57" s="17">
        <v>8.7136929460580905</v>
      </c>
      <c r="R57" s="17">
        <v>3.3522629009885967</v>
      </c>
      <c r="S57" s="17">
        <v>3.8077789333681964</v>
      </c>
    </row>
    <row r="58" spans="1:19" s="3" customFormat="1" x14ac:dyDescent="0.3">
      <c r="A58" s="3" t="s">
        <v>29</v>
      </c>
      <c r="B58" s="3">
        <v>3</v>
      </c>
      <c r="C58" s="3">
        <v>2633</v>
      </c>
      <c r="D58" s="3">
        <v>62779.332999999999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</v>
      </c>
      <c r="R58" s="3">
        <v>2633</v>
      </c>
      <c r="S58" s="3">
        <v>62779.332999999999</v>
      </c>
    </row>
    <row r="59" spans="1:19" s="3" customFormat="1" x14ac:dyDescent="0.3">
      <c r="A59" s="3" t="s">
        <v>23</v>
      </c>
      <c r="B59" s="3">
        <v>5</v>
      </c>
      <c r="C59" s="3">
        <v>4899</v>
      </c>
      <c r="D59" s="3">
        <v>87172.78</v>
      </c>
      <c r="E59" s="3">
        <v>2</v>
      </c>
      <c r="F59" s="3">
        <v>4605</v>
      </c>
      <c r="G59" s="3">
        <v>82192.885999999999</v>
      </c>
      <c r="H59" s="3">
        <v>2</v>
      </c>
      <c r="I59" s="3">
        <v>144</v>
      </c>
      <c r="J59" s="3">
        <v>3816.8119999999999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</v>
      </c>
      <c r="R59" s="3">
        <v>150</v>
      </c>
      <c r="S59" s="3">
        <v>1163.0820000000001</v>
      </c>
    </row>
    <row r="60" spans="1:19" s="3" customFormat="1" x14ac:dyDescent="0.3">
      <c r="A60" s="3" t="s">
        <v>24</v>
      </c>
      <c r="B60" s="3">
        <v>16</v>
      </c>
      <c r="C60" s="3">
        <v>7499</v>
      </c>
      <c r="D60" s="3">
        <v>87885.472999999998</v>
      </c>
      <c r="E60" s="3">
        <v>7</v>
      </c>
      <c r="F60" s="3">
        <v>5055</v>
      </c>
      <c r="G60" s="3">
        <v>47162.190999999999</v>
      </c>
      <c r="H60" s="3">
        <v>1</v>
      </c>
      <c r="I60" s="3">
        <v>109</v>
      </c>
      <c r="J60" s="3">
        <v>5000</v>
      </c>
      <c r="K60" s="3">
        <v>1</v>
      </c>
      <c r="L60" s="3">
        <v>145</v>
      </c>
      <c r="M60" s="3">
        <v>2491.201</v>
      </c>
      <c r="N60" s="3">
        <v>0</v>
      </c>
      <c r="O60" s="3">
        <v>0</v>
      </c>
      <c r="P60" s="3">
        <v>0</v>
      </c>
      <c r="Q60" s="3">
        <v>7</v>
      </c>
      <c r="R60" s="3">
        <v>2190</v>
      </c>
      <c r="S60" s="3">
        <v>33232.080999999998</v>
      </c>
    </row>
    <row r="61" spans="1:19" s="3" customFormat="1" x14ac:dyDescent="0.3">
      <c r="A61" s="3" t="s">
        <v>25</v>
      </c>
      <c r="B61" s="3">
        <v>12</v>
      </c>
      <c r="C61" s="3">
        <v>3999</v>
      </c>
      <c r="D61" s="3">
        <v>68884.769</v>
      </c>
      <c r="E61" s="3">
        <v>3</v>
      </c>
      <c r="F61" s="3">
        <v>1463</v>
      </c>
      <c r="G61" s="3">
        <v>27278.251</v>
      </c>
      <c r="H61" s="3">
        <v>0</v>
      </c>
      <c r="I61" s="3">
        <v>0</v>
      </c>
      <c r="J61" s="3">
        <v>0</v>
      </c>
      <c r="K61" s="3">
        <v>2</v>
      </c>
      <c r="L61" s="3">
        <v>624</v>
      </c>
      <c r="M61" s="3">
        <v>10207.163</v>
      </c>
      <c r="N61" s="3">
        <v>0</v>
      </c>
      <c r="O61" s="3">
        <v>0</v>
      </c>
      <c r="P61" s="3">
        <v>0</v>
      </c>
      <c r="Q61" s="3">
        <v>7</v>
      </c>
      <c r="R61" s="3">
        <v>1912</v>
      </c>
      <c r="S61" s="3">
        <v>31399.355</v>
      </c>
    </row>
    <row r="62" spans="1:19" s="3" customFormat="1" x14ac:dyDescent="0.3">
      <c r="A62" s="3" t="s">
        <v>26</v>
      </c>
      <c r="B62" s="3">
        <v>8</v>
      </c>
      <c r="C62" s="3">
        <v>4464</v>
      </c>
      <c r="D62" s="3">
        <v>59465.811999999998</v>
      </c>
      <c r="E62" s="3">
        <v>3</v>
      </c>
      <c r="F62" s="3">
        <v>1764</v>
      </c>
      <c r="G62" s="3">
        <v>33350.565999999999</v>
      </c>
      <c r="H62" s="3">
        <v>1</v>
      </c>
      <c r="I62" s="3">
        <v>65</v>
      </c>
      <c r="J62" s="3">
        <v>235</v>
      </c>
      <c r="K62" s="3">
        <v>1</v>
      </c>
      <c r="L62" s="3">
        <v>22</v>
      </c>
      <c r="M62" s="3">
        <v>250</v>
      </c>
      <c r="N62" s="3">
        <v>0</v>
      </c>
      <c r="O62" s="3">
        <v>0</v>
      </c>
      <c r="P62" s="3">
        <v>0</v>
      </c>
      <c r="Q62" s="3">
        <v>3</v>
      </c>
      <c r="R62" s="3">
        <v>2613</v>
      </c>
      <c r="S62" s="3">
        <v>25630.245999999999</v>
      </c>
    </row>
    <row r="63" spans="1:19" s="3" customFormat="1" x14ac:dyDescent="0.3">
      <c r="A63" s="3" t="s">
        <v>27</v>
      </c>
      <c r="B63" s="3">
        <v>7</v>
      </c>
      <c r="C63" s="3">
        <v>1524</v>
      </c>
      <c r="D63" s="3">
        <v>40624.485000000001</v>
      </c>
      <c r="E63" s="3">
        <v>1</v>
      </c>
      <c r="F63" s="3">
        <v>237</v>
      </c>
      <c r="G63" s="3">
        <v>5100</v>
      </c>
      <c r="H63" s="3">
        <v>3</v>
      </c>
      <c r="I63" s="3">
        <v>636</v>
      </c>
      <c r="J63" s="3">
        <v>23827.651000000002</v>
      </c>
      <c r="K63" s="3">
        <v>3</v>
      </c>
      <c r="L63" s="3">
        <v>651</v>
      </c>
      <c r="M63" s="3">
        <v>11696.834000000001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1:19" s="3" customFormat="1" x14ac:dyDescent="0.3">
      <c r="A64" s="3" t="s">
        <v>28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s="3" customFormat="1" x14ac:dyDescent="0.3">
      <c r="A65" s="3" t="s">
        <v>87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s="3" customFormat="1" x14ac:dyDescent="0.3">
      <c r="A66" s="3" t="s">
        <v>88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s="3" customFormat="1" x14ac:dyDescent="0.3"/>
    <row r="68" spans="1:19" s="3" customFormat="1" x14ac:dyDescent="0.3">
      <c r="A68" s="3" t="s">
        <v>122</v>
      </c>
      <c r="B68" s="3">
        <v>65</v>
      </c>
      <c r="C68" s="3">
        <v>47703</v>
      </c>
      <c r="D68" s="3">
        <v>862535.33499999996</v>
      </c>
      <c r="E68" s="3">
        <v>13</v>
      </c>
      <c r="F68" s="3">
        <v>6571</v>
      </c>
      <c r="G68" s="3">
        <v>81448.851999999999</v>
      </c>
      <c r="H68" s="3">
        <v>11</v>
      </c>
      <c r="I68" s="3">
        <v>2821</v>
      </c>
      <c r="J68" s="3">
        <v>42872.561000000002</v>
      </c>
      <c r="K68" s="3">
        <v>5</v>
      </c>
      <c r="L68" s="3">
        <v>781</v>
      </c>
      <c r="M68" s="3">
        <v>10813.582</v>
      </c>
      <c r="N68" s="3">
        <v>8</v>
      </c>
      <c r="O68" s="3">
        <v>21324</v>
      </c>
      <c r="P68" s="3">
        <v>549859.23499999999</v>
      </c>
      <c r="Q68" s="3">
        <v>28</v>
      </c>
      <c r="R68" s="3">
        <v>16206</v>
      </c>
      <c r="S68" s="3">
        <v>177541.10500000001</v>
      </c>
    </row>
    <row r="69" spans="1:19" s="3" customFormat="1" x14ac:dyDescent="0.3">
      <c r="A69" s="3" t="s">
        <v>101</v>
      </c>
      <c r="B69" s="17">
        <v>13.078470824949697</v>
      </c>
      <c r="C69" s="17">
        <v>10.195955217564153</v>
      </c>
      <c r="D69" s="17">
        <v>12.202182682487784</v>
      </c>
      <c r="E69" s="17">
        <v>9.5588235294117645</v>
      </c>
      <c r="F69" s="17">
        <v>5.925104372368148</v>
      </c>
      <c r="G69" s="17">
        <v>5.4736533481018812</v>
      </c>
      <c r="H69" s="17">
        <v>18.032786885245901</v>
      </c>
      <c r="I69" s="17">
        <v>15.364923747276688</v>
      </c>
      <c r="J69" s="17">
        <v>16.32497840867844</v>
      </c>
      <c r="K69" s="17">
        <v>10.869565217391305</v>
      </c>
      <c r="L69" s="17">
        <v>3.2862071867373563</v>
      </c>
      <c r="M69" s="17">
        <v>4.0658186050373333</v>
      </c>
      <c r="N69" s="17">
        <v>61.53846153846154</v>
      </c>
      <c r="O69" s="17">
        <v>67.686642965972581</v>
      </c>
      <c r="P69" s="17">
        <v>54.855050758740198</v>
      </c>
      <c r="Q69" s="17">
        <v>11.618257261410788</v>
      </c>
      <c r="R69" s="17">
        <v>5.7198118102149076</v>
      </c>
      <c r="S69" s="17">
        <v>4.3840422698101911</v>
      </c>
    </row>
    <row r="70" spans="1:19" s="3" customFormat="1" x14ac:dyDescent="0.3">
      <c r="A70" s="3" t="s">
        <v>30</v>
      </c>
      <c r="B70" s="3">
        <v>22</v>
      </c>
      <c r="C70" s="3">
        <v>14525</v>
      </c>
      <c r="D70" s="3">
        <v>173521.334</v>
      </c>
      <c r="E70" s="3">
        <v>6</v>
      </c>
      <c r="F70" s="3">
        <v>4394</v>
      </c>
      <c r="G70" s="3">
        <v>51977.169000000002</v>
      </c>
      <c r="H70" s="3">
        <v>2</v>
      </c>
      <c r="I70" s="3">
        <v>314</v>
      </c>
      <c r="J70" s="3">
        <v>6616.8540000000003</v>
      </c>
      <c r="K70" s="3">
        <v>2</v>
      </c>
      <c r="L70" s="3">
        <v>477</v>
      </c>
      <c r="M70" s="3">
        <v>4353.8</v>
      </c>
      <c r="N70" s="3">
        <v>0</v>
      </c>
      <c r="O70" s="3">
        <v>0</v>
      </c>
      <c r="P70" s="3">
        <v>0</v>
      </c>
      <c r="Q70" s="3">
        <v>12</v>
      </c>
      <c r="R70" s="3">
        <v>9340</v>
      </c>
      <c r="S70" s="3">
        <v>110573.511</v>
      </c>
    </row>
    <row r="71" spans="1:19" s="3" customFormat="1" x14ac:dyDescent="0.3">
      <c r="A71" s="3" t="s">
        <v>31</v>
      </c>
      <c r="B71" s="3">
        <v>17</v>
      </c>
      <c r="C71" s="3">
        <v>15226</v>
      </c>
      <c r="D71" s="3">
        <v>272456.772</v>
      </c>
      <c r="E71" s="3">
        <v>0</v>
      </c>
      <c r="F71" s="3">
        <v>0</v>
      </c>
      <c r="G71" s="3">
        <v>0</v>
      </c>
      <c r="H71" s="3">
        <v>3</v>
      </c>
      <c r="I71" s="3">
        <v>1505</v>
      </c>
      <c r="J71" s="3">
        <v>22686.97</v>
      </c>
      <c r="K71" s="3">
        <v>1</v>
      </c>
      <c r="L71" s="3">
        <v>102</v>
      </c>
      <c r="M71" s="3">
        <v>1255.5740000000001</v>
      </c>
      <c r="N71" s="3">
        <v>7</v>
      </c>
      <c r="O71" s="3">
        <v>11244</v>
      </c>
      <c r="P71" s="3">
        <v>222578.20300000001</v>
      </c>
      <c r="Q71" s="3">
        <v>6</v>
      </c>
      <c r="R71" s="3">
        <v>2375</v>
      </c>
      <c r="S71" s="3">
        <v>25936.025000000001</v>
      </c>
    </row>
    <row r="72" spans="1:19" s="3" customFormat="1" x14ac:dyDescent="0.3">
      <c r="A72" s="3" t="s">
        <v>32</v>
      </c>
      <c r="B72" s="3">
        <v>9</v>
      </c>
      <c r="C72" s="3">
        <v>2946</v>
      </c>
      <c r="D72" s="3">
        <v>32444.732</v>
      </c>
      <c r="E72" s="3">
        <v>0</v>
      </c>
      <c r="F72" s="3">
        <v>0</v>
      </c>
      <c r="G72" s="3">
        <v>0</v>
      </c>
      <c r="H72" s="3">
        <v>2</v>
      </c>
      <c r="I72" s="3">
        <v>451</v>
      </c>
      <c r="J72" s="3">
        <v>6884.35</v>
      </c>
      <c r="K72" s="3">
        <v>2</v>
      </c>
      <c r="L72" s="3">
        <v>202</v>
      </c>
      <c r="M72" s="3">
        <v>5204.2079999999996</v>
      </c>
      <c r="N72" s="3">
        <v>0</v>
      </c>
      <c r="O72" s="3">
        <v>0</v>
      </c>
      <c r="P72" s="3">
        <v>0</v>
      </c>
      <c r="Q72" s="3">
        <v>5</v>
      </c>
      <c r="R72" s="3">
        <v>2293</v>
      </c>
      <c r="S72" s="3">
        <v>20356.173999999999</v>
      </c>
    </row>
    <row r="73" spans="1:19" s="3" customFormat="1" x14ac:dyDescent="0.3">
      <c r="A73" s="3" t="s">
        <v>33</v>
      </c>
      <c r="B73" s="3">
        <v>6</v>
      </c>
      <c r="C73" s="3">
        <v>1022</v>
      </c>
      <c r="D73" s="3">
        <v>13855.820000000002</v>
      </c>
      <c r="E73" s="3">
        <v>3</v>
      </c>
      <c r="F73" s="3">
        <v>762</v>
      </c>
      <c r="G73" s="3">
        <v>10084.233</v>
      </c>
      <c r="H73" s="3">
        <v>3</v>
      </c>
      <c r="I73" s="3">
        <v>260</v>
      </c>
      <c r="J73" s="3">
        <v>3771.587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1:19" s="3" customFormat="1" x14ac:dyDescent="0.3">
      <c r="A74" s="3" t="s">
        <v>34</v>
      </c>
      <c r="B74" s="3">
        <v>10</v>
      </c>
      <c r="C74" s="3">
        <v>13352</v>
      </c>
      <c r="D74" s="3">
        <v>361537.13199999998</v>
      </c>
      <c r="E74" s="3">
        <v>4</v>
      </c>
      <c r="F74" s="3">
        <v>1415</v>
      </c>
      <c r="G74" s="3">
        <v>19387.45</v>
      </c>
      <c r="H74" s="3">
        <v>1</v>
      </c>
      <c r="I74" s="3">
        <v>291</v>
      </c>
      <c r="J74" s="3">
        <v>2912.8</v>
      </c>
      <c r="K74" s="3">
        <v>0</v>
      </c>
      <c r="L74" s="3">
        <v>0</v>
      </c>
      <c r="M74" s="3">
        <v>0</v>
      </c>
      <c r="N74" s="3">
        <v>1</v>
      </c>
      <c r="O74" s="3">
        <v>10080</v>
      </c>
      <c r="P74" s="3">
        <v>327281.03200000001</v>
      </c>
      <c r="Q74" s="3">
        <v>4</v>
      </c>
      <c r="R74" s="3">
        <v>1566</v>
      </c>
      <c r="S74" s="3">
        <v>11955.85</v>
      </c>
    </row>
    <row r="75" spans="1:19" s="3" customFormat="1" x14ac:dyDescent="0.3">
      <c r="A75" s="3" t="s">
        <v>89</v>
      </c>
      <c r="B75" s="3">
        <v>1</v>
      </c>
      <c r="C75" s="3">
        <v>632</v>
      </c>
      <c r="D75" s="3">
        <v>8719.5450000000001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632</v>
      </c>
      <c r="S75" s="3">
        <v>8719.5450000000001</v>
      </c>
    </row>
    <row r="76" spans="1:19" s="3" customFormat="1" x14ac:dyDescent="0.3"/>
    <row r="77" spans="1:19" s="3" customFormat="1" x14ac:dyDescent="0.3">
      <c r="A77" s="3" t="s">
        <v>35</v>
      </c>
      <c r="B77" s="3">
        <v>41</v>
      </c>
      <c r="C77" s="3">
        <v>37617</v>
      </c>
      <c r="D77" s="3">
        <v>599192.80800000008</v>
      </c>
      <c r="E77" s="3">
        <v>8</v>
      </c>
      <c r="F77" s="3">
        <v>2501</v>
      </c>
      <c r="G77" s="3">
        <v>80261.937000000005</v>
      </c>
      <c r="H77" s="3">
        <v>5</v>
      </c>
      <c r="I77" s="3">
        <v>1396</v>
      </c>
      <c r="J77" s="3">
        <v>26662.184000000001</v>
      </c>
      <c r="K77" s="3">
        <v>2</v>
      </c>
      <c r="L77" s="3">
        <v>5116</v>
      </c>
      <c r="M77" s="3">
        <v>51594.39</v>
      </c>
      <c r="N77" s="3">
        <v>1</v>
      </c>
      <c r="O77" s="3">
        <v>76</v>
      </c>
      <c r="P77" s="3">
        <v>2194.1190000000001</v>
      </c>
      <c r="Q77" s="3">
        <v>25</v>
      </c>
      <c r="R77" s="3">
        <v>28528</v>
      </c>
      <c r="S77" s="3">
        <v>438480.17800000001</v>
      </c>
    </row>
    <row r="78" spans="1:19" s="3" customFormat="1" x14ac:dyDescent="0.3">
      <c r="A78" s="3" t="s">
        <v>101</v>
      </c>
      <c r="B78" s="17">
        <v>8.2494969818913475</v>
      </c>
      <c r="C78" s="17">
        <v>8.0401913384715993</v>
      </c>
      <c r="D78" s="17">
        <v>8.4767079197385335</v>
      </c>
      <c r="E78" s="17">
        <v>5.8823529411764701</v>
      </c>
      <c r="F78" s="17">
        <v>2.2551645160999447</v>
      </c>
      <c r="G78" s="17">
        <v>5.39388842687669</v>
      </c>
      <c r="H78" s="17">
        <v>8.1967213114754092</v>
      </c>
      <c r="I78" s="17">
        <v>7.6034858387799567</v>
      </c>
      <c r="J78" s="17">
        <v>10.152404427816005</v>
      </c>
      <c r="K78" s="17">
        <v>4.3478260869565215</v>
      </c>
      <c r="L78" s="17">
        <v>21.526550534376838</v>
      </c>
      <c r="M78" s="17">
        <v>19.399069686395507</v>
      </c>
      <c r="N78" s="17">
        <v>7.6923076923076925</v>
      </c>
      <c r="O78" s="17">
        <v>0.24123920771965465</v>
      </c>
      <c r="P78" s="17">
        <v>0.21888967476506294</v>
      </c>
      <c r="Q78" s="17">
        <v>10.37344398340249</v>
      </c>
      <c r="R78" s="17">
        <v>10.068788801790133</v>
      </c>
      <c r="S78" s="17">
        <v>10.827439847385746</v>
      </c>
    </row>
    <row r="79" spans="1:19" s="3" customFormat="1" x14ac:dyDescent="0.3">
      <c r="A79" s="3" t="s">
        <v>36</v>
      </c>
      <c r="B79" s="3">
        <v>2</v>
      </c>
      <c r="C79" s="3">
        <v>139</v>
      </c>
      <c r="D79" s="3">
        <v>4142.2690000000002</v>
      </c>
      <c r="E79" s="3">
        <v>2</v>
      </c>
      <c r="F79" s="3">
        <v>139</v>
      </c>
      <c r="G79" s="3">
        <v>4142.2690000000002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</row>
    <row r="80" spans="1:19" s="3" customFormat="1" x14ac:dyDescent="0.3">
      <c r="A80" s="3" t="s">
        <v>134</v>
      </c>
      <c r="B80" s="3">
        <v>5</v>
      </c>
      <c r="C80" s="3">
        <v>2152</v>
      </c>
      <c r="D80" s="3">
        <v>40040.150999999998</v>
      </c>
      <c r="E80" s="3">
        <v>2</v>
      </c>
      <c r="F80" s="3">
        <v>1233</v>
      </c>
      <c r="G80" s="3">
        <v>33445.159</v>
      </c>
      <c r="H80" s="3">
        <v>2</v>
      </c>
      <c r="I80" s="3">
        <v>843</v>
      </c>
      <c r="J80" s="3">
        <v>4400.8729999999996</v>
      </c>
      <c r="K80" s="3">
        <v>0</v>
      </c>
      <c r="L80" s="3">
        <v>0</v>
      </c>
      <c r="M80" s="3">
        <v>0</v>
      </c>
      <c r="N80" s="3">
        <v>1</v>
      </c>
      <c r="O80" s="3">
        <v>76</v>
      </c>
      <c r="P80" s="3">
        <v>2194.1190000000001</v>
      </c>
      <c r="Q80" s="3">
        <v>0</v>
      </c>
      <c r="R80" s="3">
        <v>0</v>
      </c>
      <c r="S80" s="3">
        <v>0</v>
      </c>
    </row>
    <row r="81" spans="1:19" s="3" customFormat="1" x14ac:dyDescent="0.3">
      <c r="A81" s="3" t="s">
        <v>37</v>
      </c>
      <c r="B81" s="3">
        <v>14</v>
      </c>
      <c r="C81" s="3">
        <v>24854</v>
      </c>
      <c r="D81" s="3">
        <v>265653.17099999997</v>
      </c>
      <c r="E81" s="3">
        <v>1</v>
      </c>
      <c r="F81" s="3">
        <v>78</v>
      </c>
      <c r="G81" s="3">
        <v>1600</v>
      </c>
      <c r="H81" s="3">
        <v>0</v>
      </c>
      <c r="I81" s="3">
        <v>0</v>
      </c>
      <c r="J81" s="3">
        <v>0</v>
      </c>
      <c r="K81" s="3">
        <v>2</v>
      </c>
      <c r="L81" s="3">
        <v>5116</v>
      </c>
      <c r="M81" s="3">
        <v>51594.39</v>
      </c>
      <c r="N81" s="3">
        <v>0</v>
      </c>
      <c r="O81" s="3">
        <v>0</v>
      </c>
      <c r="P81" s="3">
        <v>0</v>
      </c>
      <c r="Q81" s="3">
        <v>11</v>
      </c>
      <c r="R81" s="3">
        <v>19660</v>
      </c>
      <c r="S81" s="3">
        <v>212458.78099999999</v>
      </c>
    </row>
    <row r="82" spans="1:19" s="3" customFormat="1" x14ac:dyDescent="0.3">
      <c r="A82" s="3" t="s">
        <v>38</v>
      </c>
      <c r="B82" s="3">
        <v>8</v>
      </c>
      <c r="C82" s="3">
        <v>4667</v>
      </c>
      <c r="D82" s="3">
        <v>126326.467</v>
      </c>
      <c r="E82" s="3">
        <v>1</v>
      </c>
      <c r="F82" s="3">
        <v>84</v>
      </c>
      <c r="G82" s="3">
        <v>1300</v>
      </c>
      <c r="H82" s="3">
        <v>1</v>
      </c>
      <c r="I82" s="3">
        <v>15</v>
      </c>
      <c r="J82" s="3">
        <v>35.911000000000058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6</v>
      </c>
      <c r="R82" s="3">
        <v>4568</v>
      </c>
      <c r="S82" s="3">
        <v>124990.55600000001</v>
      </c>
    </row>
    <row r="83" spans="1:19" s="3" customFormat="1" x14ac:dyDescent="0.3">
      <c r="A83" s="3" t="s">
        <v>39</v>
      </c>
      <c r="B83" s="3">
        <v>8</v>
      </c>
      <c r="C83" s="3">
        <v>4061</v>
      </c>
      <c r="D83" s="3">
        <v>104582.348</v>
      </c>
      <c r="E83" s="3">
        <v>1</v>
      </c>
      <c r="F83" s="3">
        <v>40</v>
      </c>
      <c r="G83" s="3">
        <v>466.99400000000003</v>
      </c>
      <c r="H83" s="3">
        <v>1</v>
      </c>
      <c r="I83" s="3">
        <v>358</v>
      </c>
      <c r="J83" s="3">
        <v>15331.402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6</v>
      </c>
      <c r="R83" s="3">
        <v>3663</v>
      </c>
      <c r="S83" s="3">
        <v>88783.952000000005</v>
      </c>
    </row>
    <row r="84" spans="1:19" s="3" customFormat="1" x14ac:dyDescent="0.3">
      <c r="A84" s="3" t="s">
        <v>90</v>
      </c>
      <c r="B84" s="3">
        <v>4</v>
      </c>
      <c r="C84" s="3">
        <v>1744</v>
      </c>
      <c r="D84" s="3">
        <v>58448.402000000002</v>
      </c>
      <c r="E84" s="3">
        <v>1</v>
      </c>
      <c r="F84" s="3">
        <v>927</v>
      </c>
      <c r="G84" s="3">
        <v>39307.514999999999</v>
      </c>
      <c r="H84" s="3">
        <v>1</v>
      </c>
      <c r="I84" s="3">
        <v>180</v>
      </c>
      <c r="J84" s="3">
        <v>6893.9979999999996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2</v>
      </c>
      <c r="R84" s="3">
        <v>637</v>
      </c>
      <c r="S84" s="3">
        <v>12246.888999999999</v>
      </c>
    </row>
    <row r="85" spans="1:19" s="3" customFormat="1" x14ac:dyDescent="0.3"/>
    <row r="86" spans="1:19" s="3" customFormat="1" x14ac:dyDescent="0.3">
      <c r="A86" s="3" t="s">
        <v>123</v>
      </c>
      <c r="B86" s="3">
        <v>31</v>
      </c>
      <c r="C86" s="3">
        <v>56485</v>
      </c>
      <c r="D86" s="3">
        <v>928987.14099999995</v>
      </c>
      <c r="E86" s="3">
        <v>4</v>
      </c>
      <c r="F86" s="3">
        <v>9198</v>
      </c>
      <c r="G86" s="3">
        <v>116867.97500000001</v>
      </c>
      <c r="H86" s="3">
        <v>1</v>
      </c>
      <c r="I86" s="3">
        <v>2097</v>
      </c>
      <c r="J86" s="3">
        <v>31987.835999999999</v>
      </c>
      <c r="K86" s="3">
        <v>7</v>
      </c>
      <c r="L86" s="3">
        <v>958</v>
      </c>
      <c r="M86" s="3">
        <v>16859.737000000001</v>
      </c>
      <c r="N86" s="3">
        <v>0</v>
      </c>
      <c r="O86" s="3">
        <v>0</v>
      </c>
      <c r="P86" s="3">
        <v>0</v>
      </c>
      <c r="Q86" s="3">
        <v>19</v>
      </c>
      <c r="R86" s="3">
        <v>44232</v>
      </c>
      <c r="S86" s="3">
        <v>763271.59299999999</v>
      </c>
    </row>
    <row r="87" spans="1:19" s="3" customFormat="1" x14ac:dyDescent="0.3">
      <c r="A87" s="3" t="s">
        <v>101</v>
      </c>
      <c r="B87" s="17">
        <v>6.2374245472837018</v>
      </c>
      <c r="C87" s="17">
        <v>12.073004432931079</v>
      </c>
      <c r="D87" s="17">
        <v>13.14226831549346</v>
      </c>
      <c r="E87" s="17">
        <v>2.9411764705882351</v>
      </c>
      <c r="F87" s="17">
        <v>8.2938837341412608</v>
      </c>
      <c r="G87" s="17">
        <v>7.8539447387746737</v>
      </c>
      <c r="H87" s="17">
        <v>1.639344262295082</v>
      </c>
      <c r="I87" s="17">
        <v>11.421568627450981</v>
      </c>
      <c r="J87" s="17">
        <v>12.180301802832513</v>
      </c>
      <c r="K87" s="17">
        <v>15.217391304347828</v>
      </c>
      <c r="L87" s="17">
        <v>4.0309686106202136</v>
      </c>
      <c r="M87" s="17">
        <v>6.339123555047375</v>
      </c>
      <c r="N87" s="17">
        <v>0</v>
      </c>
      <c r="O87" s="17">
        <v>0</v>
      </c>
      <c r="P87" s="17">
        <v>0</v>
      </c>
      <c r="Q87" s="17">
        <v>7.8838174273858916</v>
      </c>
      <c r="R87" s="17">
        <v>15.611422682304443</v>
      </c>
      <c r="S87" s="17">
        <v>18.84755041407093</v>
      </c>
    </row>
    <row r="88" spans="1:19" s="3" customFormat="1" x14ac:dyDescent="0.3">
      <c r="A88" s="3" t="s">
        <v>40</v>
      </c>
      <c r="B88" s="3">
        <v>7</v>
      </c>
      <c r="C88" s="3">
        <v>26110</v>
      </c>
      <c r="D88" s="3">
        <v>606147.75099999993</v>
      </c>
      <c r="E88" s="3">
        <v>1</v>
      </c>
      <c r="F88" s="3">
        <v>1218</v>
      </c>
      <c r="G88" s="3">
        <v>49037.991000000002</v>
      </c>
      <c r="H88" s="3">
        <v>1</v>
      </c>
      <c r="I88" s="3">
        <v>2097</v>
      </c>
      <c r="J88" s="3">
        <v>31987.835999999999</v>
      </c>
      <c r="K88" s="3">
        <v>1</v>
      </c>
      <c r="L88" s="3">
        <v>46</v>
      </c>
      <c r="M88" s="3">
        <v>731.18499999999995</v>
      </c>
      <c r="N88" s="3">
        <v>0</v>
      </c>
      <c r="O88" s="3">
        <v>0</v>
      </c>
      <c r="P88" s="3">
        <v>0</v>
      </c>
      <c r="Q88" s="3">
        <v>4</v>
      </c>
      <c r="R88" s="3">
        <v>22749</v>
      </c>
      <c r="S88" s="3">
        <v>524390.73899999994</v>
      </c>
    </row>
    <row r="89" spans="1:19" s="3" customFormat="1" x14ac:dyDescent="0.3">
      <c r="A89" s="3" t="s">
        <v>41</v>
      </c>
      <c r="B89" s="3">
        <v>1</v>
      </c>
      <c r="C89" s="3">
        <v>33</v>
      </c>
      <c r="D89" s="3">
        <v>369.65899999999999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1</v>
      </c>
      <c r="L89" s="3">
        <v>33</v>
      </c>
      <c r="M89" s="3">
        <v>369.65899999999999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1:19" s="3" customFormat="1" x14ac:dyDescent="0.3">
      <c r="A90" s="3" t="s">
        <v>42</v>
      </c>
      <c r="B90" s="3">
        <v>6</v>
      </c>
      <c r="C90" s="3">
        <v>15309</v>
      </c>
      <c r="D90" s="3">
        <v>131667.152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2</v>
      </c>
      <c r="L90" s="3">
        <v>621</v>
      </c>
      <c r="M90" s="3">
        <v>8737.0390000000007</v>
      </c>
      <c r="N90" s="3">
        <v>0</v>
      </c>
      <c r="O90" s="3">
        <v>0</v>
      </c>
      <c r="P90" s="3">
        <v>0</v>
      </c>
      <c r="Q90" s="3">
        <v>4</v>
      </c>
      <c r="R90" s="3">
        <v>14688</v>
      </c>
      <c r="S90" s="3">
        <v>122930.113</v>
      </c>
    </row>
    <row r="91" spans="1:19" s="3" customFormat="1" x14ac:dyDescent="0.3">
      <c r="A91" s="3" t="s">
        <v>43</v>
      </c>
      <c r="B91" s="3">
        <v>1</v>
      </c>
      <c r="C91" s="3">
        <v>504</v>
      </c>
      <c r="D91" s="3">
        <v>10000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1</v>
      </c>
      <c r="R91" s="3">
        <v>504</v>
      </c>
      <c r="S91" s="3">
        <v>10000</v>
      </c>
    </row>
    <row r="92" spans="1:19" s="3" customFormat="1" x14ac:dyDescent="0.3">
      <c r="A92" s="3" t="s">
        <v>44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1:19" s="3" customFormat="1" x14ac:dyDescent="0.3">
      <c r="A93" s="3" t="s">
        <v>45</v>
      </c>
      <c r="B93" s="3">
        <v>16</v>
      </c>
      <c r="C93" s="3">
        <v>14529</v>
      </c>
      <c r="D93" s="3">
        <v>180802.579</v>
      </c>
      <c r="E93" s="3">
        <v>3</v>
      </c>
      <c r="F93" s="3">
        <v>7980</v>
      </c>
      <c r="G93" s="3">
        <v>67829.983999999997</v>
      </c>
      <c r="H93" s="3">
        <v>0</v>
      </c>
      <c r="I93" s="3">
        <v>0</v>
      </c>
      <c r="J93" s="3">
        <v>0</v>
      </c>
      <c r="K93" s="3">
        <v>3</v>
      </c>
      <c r="L93" s="3">
        <v>258</v>
      </c>
      <c r="M93" s="3">
        <v>7021.8540000000003</v>
      </c>
      <c r="N93" s="3">
        <v>0</v>
      </c>
      <c r="O93" s="3">
        <v>0</v>
      </c>
      <c r="P93" s="3">
        <v>0</v>
      </c>
      <c r="Q93" s="3">
        <v>10</v>
      </c>
      <c r="R93" s="3">
        <v>6291</v>
      </c>
      <c r="S93" s="3">
        <v>105950.74099999999</v>
      </c>
    </row>
    <row r="94" spans="1:19" s="3" customFormat="1" x14ac:dyDescent="0.3"/>
    <row r="95" spans="1:19" s="3" customFormat="1" x14ac:dyDescent="0.3">
      <c r="A95" s="3" t="s">
        <v>124</v>
      </c>
      <c r="B95" s="3">
        <v>37</v>
      </c>
      <c r="C95" s="3">
        <v>17183</v>
      </c>
      <c r="D95" s="3">
        <v>262220.54099999997</v>
      </c>
      <c r="E95" s="3">
        <v>9</v>
      </c>
      <c r="F95" s="3">
        <v>4235</v>
      </c>
      <c r="G95" s="3">
        <v>64035.411</v>
      </c>
      <c r="H95" s="3">
        <v>3</v>
      </c>
      <c r="I95" s="3">
        <v>397</v>
      </c>
      <c r="J95" s="3">
        <v>4751.8689999999997</v>
      </c>
      <c r="K95" s="3">
        <v>1</v>
      </c>
      <c r="L95" s="3">
        <v>420</v>
      </c>
      <c r="M95" s="3">
        <v>10000</v>
      </c>
      <c r="N95" s="3">
        <v>0</v>
      </c>
      <c r="O95" s="3">
        <v>0</v>
      </c>
      <c r="P95" s="3">
        <v>0</v>
      </c>
      <c r="Q95" s="3">
        <v>24</v>
      </c>
      <c r="R95" s="3">
        <v>12131</v>
      </c>
      <c r="S95" s="3">
        <v>183433.261</v>
      </c>
    </row>
    <row r="96" spans="1:19" s="3" customFormat="1" x14ac:dyDescent="0.3">
      <c r="A96" s="3" t="s">
        <v>101</v>
      </c>
      <c r="B96" s="18">
        <v>7.4446680080482901</v>
      </c>
      <c r="C96" s="18">
        <v>3.672664161654505</v>
      </c>
      <c r="D96" s="18">
        <v>3.7096021630033018</v>
      </c>
      <c r="E96" s="18">
        <v>6.6176470588235299</v>
      </c>
      <c r="F96" s="18">
        <v>3.8187212017925893</v>
      </c>
      <c r="G96" s="18">
        <v>4.303408006502413</v>
      </c>
      <c r="H96" s="18">
        <v>4.918032786885246</v>
      </c>
      <c r="I96" s="18">
        <v>2.1623093681917211</v>
      </c>
      <c r="J96" s="18">
        <v>1.8094127576346188</v>
      </c>
      <c r="K96" s="18">
        <v>2.1739130434782608</v>
      </c>
      <c r="L96" s="18">
        <v>1.7672304973491544</v>
      </c>
      <c r="M96" s="18">
        <v>3.7599184109736559</v>
      </c>
      <c r="N96" s="18">
        <v>0</v>
      </c>
      <c r="O96" s="18">
        <v>0</v>
      </c>
      <c r="P96" s="18">
        <v>0</v>
      </c>
      <c r="Q96" s="18">
        <v>9.9585062240663902</v>
      </c>
      <c r="R96" s="18">
        <v>4.2815646717090612</v>
      </c>
      <c r="S96" s="18">
        <v>4.5295379338386184</v>
      </c>
    </row>
    <row r="97" spans="1:19" s="3" customFormat="1" x14ac:dyDescent="0.3">
      <c r="A97" s="3" t="s">
        <v>46</v>
      </c>
      <c r="B97" s="3">
        <v>8</v>
      </c>
      <c r="C97" s="3">
        <v>5126</v>
      </c>
      <c r="D97" s="3">
        <v>73786.676000000007</v>
      </c>
      <c r="E97" s="3">
        <v>3</v>
      </c>
      <c r="F97" s="3">
        <v>1014</v>
      </c>
      <c r="G97" s="3">
        <v>14788.248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5</v>
      </c>
      <c r="R97" s="3">
        <v>4112</v>
      </c>
      <c r="S97" s="3">
        <v>58998.428</v>
      </c>
    </row>
    <row r="98" spans="1:19" s="3" customFormat="1" x14ac:dyDescent="0.3">
      <c r="A98" s="3" t="s">
        <v>47</v>
      </c>
      <c r="B98" s="3">
        <v>6</v>
      </c>
      <c r="C98" s="3">
        <v>2116</v>
      </c>
      <c r="D98" s="3">
        <v>21009.788</v>
      </c>
      <c r="E98" s="3">
        <v>1</v>
      </c>
      <c r="F98" s="3">
        <v>399</v>
      </c>
      <c r="G98" s="3">
        <v>5000</v>
      </c>
      <c r="H98" s="3">
        <v>1</v>
      </c>
      <c r="I98" s="3">
        <v>138</v>
      </c>
      <c r="J98" s="3">
        <v>1125.8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4</v>
      </c>
      <c r="R98" s="3">
        <v>1579</v>
      </c>
      <c r="S98" s="3">
        <v>14883.987999999999</v>
      </c>
    </row>
    <row r="99" spans="1:19" s="3" customFormat="1" x14ac:dyDescent="0.3">
      <c r="A99" s="3" t="s">
        <v>48</v>
      </c>
      <c r="B99" s="3">
        <v>4</v>
      </c>
      <c r="C99" s="3">
        <v>1574</v>
      </c>
      <c r="D99" s="3">
        <v>29069.356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1</v>
      </c>
      <c r="L99" s="3">
        <v>420</v>
      </c>
      <c r="M99" s="3">
        <v>10000</v>
      </c>
      <c r="N99" s="3">
        <v>0</v>
      </c>
      <c r="O99" s="3">
        <v>0</v>
      </c>
      <c r="P99" s="3">
        <v>0</v>
      </c>
      <c r="Q99" s="3">
        <v>3</v>
      </c>
      <c r="R99" s="3">
        <v>1154</v>
      </c>
      <c r="S99" s="3">
        <v>19069.356</v>
      </c>
    </row>
    <row r="100" spans="1:19" s="3" customFormat="1" x14ac:dyDescent="0.3">
      <c r="A100" s="3" t="s">
        <v>51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1:19" s="3" customFormat="1" x14ac:dyDescent="0.3">
      <c r="A101" s="3" t="s">
        <v>49</v>
      </c>
      <c r="B101" s="3">
        <v>18</v>
      </c>
      <c r="C101" s="3">
        <v>8305</v>
      </c>
      <c r="D101" s="3">
        <v>137554.72099999999</v>
      </c>
      <c r="E101" s="3">
        <v>4</v>
      </c>
      <c r="F101" s="3">
        <v>2760</v>
      </c>
      <c r="G101" s="3">
        <v>43447.163</v>
      </c>
      <c r="H101" s="3">
        <v>2</v>
      </c>
      <c r="I101" s="3">
        <v>259</v>
      </c>
      <c r="J101" s="3">
        <v>3626.069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12</v>
      </c>
      <c r="R101" s="3">
        <v>5286</v>
      </c>
      <c r="S101" s="3">
        <v>90481.489000000001</v>
      </c>
    </row>
    <row r="102" spans="1:19" s="3" customFormat="1" x14ac:dyDescent="0.3">
      <c r="A102" s="3" t="s">
        <v>91</v>
      </c>
      <c r="B102" s="3">
        <v>1</v>
      </c>
      <c r="C102" s="3">
        <v>62</v>
      </c>
      <c r="D102" s="3">
        <v>800</v>
      </c>
      <c r="E102" s="3">
        <v>1</v>
      </c>
      <c r="F102" s="3">
        <v>62</v>
      </c>
      <c r="G102" s="3">
        <v>800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1:19" s="3" customFormat="1" x14ac:dyDescent="0.3"/>
    <row r="104" spans="1:19" s="3" customFormat="1" x14ac:dyDescent="0.3">
      <c r="A104" s="3" t="s">
        <v>149</v>
      </c>
      <c r="B104" s="3">
        <v>9</v>
      </c>
      <c r="C104" s="3">
        <v>2256</v>
      </c>
      <c r="D104" s="3">
        <v>17584.313999999998</v>
      </c>
      <c r="E104" s="3">
        <v>2</v>
      </c>
      <c r="F104" s="3">
        <v>755</v>
      </c>
      <c r="G104" s="3">
        <v>5166.1309999999994</v>
      </c>
      <c r="H104" s="3">
        <v>2</v>
      </c>
      <c r="I104" s="3">
        <v>67</v>
      </c>
      <c r="J104" s="3">
        <v>405.82600000000002</v>
      </c>
      <c r="K104" s="3">
        <v>1</v>
      </c>
      <c r="L104" s="3">
        <v>21</v>
      </c>
      <c r="M104" s="3">
        <v>242.86699999999999</v>
      </c>
      <c r="N104" s="3">
        <v>0</v>
      </c>
      <c r="O104" s="3">
        <v>0</v>
      </c>
      <c r="P104" s="3">
        <v>0</v>
      </c>
      <c r="Q104" s="3">
        <v>4</v>
      </c>
      <c r="R104" s="3">
        <v>1413</v>
      </c>
      <c r="S104" s="3">
        <v>11769.49</v>
      </c>
    </row>
    <row r="105" spans="1:19" s="3" customFormat="1" x14ac:dyDescent="0.3">
      <c r="A105" s="3" t="s">
        <v>101</v>
      </c>
      <c r="B105" s="18">
        <v>1.8108651911468814</v>
      </c>
      <c r="C105" s="18">
        <v>0.48219346730446155</v>
      </c>
      <c r="D105" s="18">
        <v>0.24876315562680976</v>
      </c>
      <c r="E105" s="18">
        <v>1.4705882352941175</v>
      </c>
      <c r="F105" s="18">
        <v>0.68078736891461755</v>
      </c>
      <c r="G105" s="18">
        <v>0.34718242861032489</v>
      </c>
      <c r="H105" s="18">
        <v>3.278688524590164</v>
      </c>
      <c r="I105" s="18">
        <v>0.36492374727668847</v>
      </c>
      <c r="J105" s="18">
        <v>0.15453008948264921</v>
      </c>
      <c r="K105" s="18">
        <v>2.1739130434782608</v>
      </c>
      <c r="L105" s="18">
        <v>8.8361524867457714E-2</v>
      </c>
      <c r="M105" s="20">
        <v>9.1316010471793885E-2</v>
      </c>
      <c r="N105" s="18">
        <v>0</v>
      </c>
      <c r="O105" s="18">
        <v>0</v>
      </c>
      <c r="P105" s="18">
        <v>0</v>
      </c>
      <c r="Q105" s="18">
        <v>1.6597510373443984</v>
      </c>
      <c r="R105" s="18">
        <v>0.49870998937638311</v>
      </c>
      <c r="S105" s="18">
        <v>0.29062532676085545</v>
      </c>
    </row>
    <row r="106" spans="1:19" s="3" customFormat="1" x14ac:dyDescent="0.3">
      <c r="A106" s="3" t="s">
        <v>50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</row>
    <row r="107" spans="1:19" s="3" customFormat="1" x14ac:dyDescent="0.3">
      <c r="A107" s="3" t="s">
        <v>54</v>
      </c>
      <c r="B107" s="3">
        <v>5</v>
      </c>
      <c r="C107" s="3">
        <v>1538</v>
      </c>
      <c r="D107" s="3">
        <v>9757.6409999999996</v>
      </c>
      <c r="E107" s="3">
        <v>1</v>
      </c>
      <c r="F107" s="3">
        <v>449</v>
      </c>
      <c r="G107" s="3">
        <v>2851.8150000000001</v>
      </c>
      <c r="H107" s="3">
        <v>2</v>
      </c>
      <c r="I107" s="3">
        <v>67</v>
      </c>
      <c r="J107" s="3">
        <v>405.82600000000002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2</v>
      </c>
      <c r="R107" s="3">
        <v>1022</v>
      </c>
      <c r="S107" s="3">
        <v>6500</v>
      </c>
    </row>
    <row r="108" spans="1:19" s="3" customFormat="1" x14ac:dyDescent="0.3">
      <c r="A108" s="3" t="s">
        <v>55</v>
      </c>
      <c r="B108" s="3">
        <v>2</v>
      </c>
      <c r="C108" s="3">
        <v>376</v>
      </c>
      <c r="D108" s="3">
        <v>2812.0059999999999</v>
      </c>
      <c r="E108" s="3">
        <v>1</v>
      </c>
      <c r="F108" s="3">
        <v>306</v>
      </c>
      <c r="G108" s="3">
        <v>2314.3159999999998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</v>
      </c>
      <c r="R108" s="3">
        <v>70</v>
      </c>
      <c r="S108" s="3">
        <v>497.69</v>
      </c>
    </row>
    <row r="109" spans="1:19" s="3" customFormat="1" x14ac:dyDescent="0.3">
      <c r="A109" s="3" t="s">
        <v>92</v>
      </c>
      <c r="B109" s="3">
        <v>2</v>
      </c>
      <c r="C109" s="3">
        <v>342</v>
      </c>
      <c r="D109" s="3">
        <v>5014.6670000000004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1</v>
      </c>
      <c r="L109" s="3">
        <v>21</v>
      </c>
      <c r="M109" s="3">
        <v>242.86699999999999</v>
      </c>
      <c r="N109" s="3">
        <v>0</v>
      </c>
      <c r="O109" s="3">
        <v>0</v>
      </c>
      <c r="P109" s="3">
        <v>0</v>
      </c>
      <c r="Q109" s="3">
        <v>1</v>
      </c>
      <c r="R109" s="3">
        <v>321</v>
      </c>
      <c r="S109" s="3">
        <v>4771.8</v>
      </c>
    </row>
    <row r="110" spans="1:19" s="3" customFormat="1" x14ac:dyDescent="0.3"/>
    <row r="111" spans="1:19" s="3" customFormat="1" x14ac:dyDescent="0.3">
      <c r="A111" s="3" t="s">
        <v>125</v>
      </c>
      <c r="B111" s="3">
        <v>37</v>
      </c>
      <c r="C111" s="3">
        <v>111000</v>
      </c>
      <c r="D111" s="3">
        <v>1239127.8269999998</v>
      </c>
      <c r="E111" s="3">
        <v>11</v>
      </c>
      <c r="F111" s="3">
        <v>14880</v>
      </c>
      <c r="G111" s="3">
        <v>198793.48599999998</v>
      </c>
      <c r="H111" s="3">
        <v>3</v>
      </c>
      <c r="I111" s="3">
        <v>338</v>
      </c>
      <c r="J111" s="3">
        <v>3290</v>
      </c>
      <c r="K111" s="3">
        <v>4</v>
      </c>
      <c r="L111" s="3">
        <v>5981</v>
      </c>
      <c r="M111" s="3">
        <v>66025.358999999997</v>
      </c>
      <c r="N111" s="3">
        <v>2</v>
      </c>
      <c r="O111" s="3">
        <v>1973</v>
      </c>
      <c r="P111" s="3">
        <v>30048.378000000001</v>
      </c>
      <c r="Q111" s="3">
        <v>17</v>
      </c>
      <c r="R111" s="3">
        <v>87828</v>
      </c>
      <c r="S111" s="3">
        <v>940970.60400000005</v>
      </c>
    </row>
    <row r="112" spans="1:19" s="3" customFormat="1" x14ac:dyDescent="0.3">
      <c r="A112" s="3" t="s">
        <v>101</v>
      </c>
      <c r="B112" s="18">
        <v>7.4446680080482901</v>
      </c>
      <c r="C112" s="18">
        <v>23.724944534926966</v>
      </c>
      <c r="D112" s="18">
        <v>17.529790952863532</v>
      </c>
      <c r="E112" s="18">
        <v>8.0882352941176467</v>
      </c>
      <c r="F112" s="18">
        <v>13.417372250926501</v>
      </c>
      <c r="G112" s="18">
        <v>13.359631271718161</v>
      </c>
      <c r="H112" s="18">
        <v>4.918032786885246</v>
      </c>
      <c r="I112" s="18">
        <v>1.8409586056644882</v>
      </c>
      <c r="J112" s="18">
        <v>1.2527634858237666</v>
      </c>
      <c r="K112" s="18">
        <v>8.695652173913043</v>
      </c>
      <c r="L112" s="18">
        <v>25.166203820584027</v>
      </c>
      <c r="M112" s="18">
        <v>24.824996289524513</v>
      </c>
      <c r="N112" s="18">
        <v>15.384615384615385</v>
      </c>
      <c r="O112" s="18">
        <v>6.2626968004062977</v>
      </c>
      <c r="P112" s="18">
        <v>2.9976859448542541</v>
      </c>
      <c r="Q112" s="18">
        <v>7.0539419087136928</v>
      </c>
      <c r="R112" s="18">
        <v>30.998372927777051</v>
      </c>
      <c r="S112" s="18">
        <v>23.235491874317368</v>
      </c>
    </row>
    <row r="113" spans="1:19" s="3" customFormat="1" x14ac:dyDescent="0.3">
      <c r="A113" s="3" t="s">
        <v>52</v>
      </c>
      <c r="B113" s="3">
        <v>23</v>
      </c>
      <c r="C113" s="3">
        <v>37842</v>
      </c>
      <c r="D113" s="3">
        <v>327309.701</v>
      </c>
      <c r="E113" s="3">
        <v>6</v>
      </c>
      <c r="F113" s="3">
        <v>1818</v>
      </c>
      <c r="G113" s="3">
        <v>44078.205999999998</v>
      </c>
      <c r="H113" s="3">
        <v>1</v>
      </c>
      <c r="I113" s="3">
        <v>171</v>
      </c>
      <c r="J113" s="3">
        <v>1710</v>
      </c>
      <c r="K113" s="3">
        <v>2</v>
      </c>
      <c r="L113" s="3">
        <v>5748</v>
      </c>
      <c r="M113" s="3">
        <v>62547.199999999997</v>
      </c>
      <c r="N113" s="3">
        <v>1</v>
      </c>
      <c r="O113" s="3">
        <v>244</v>
      </c>
      <c r="P113" s="3">
        <v>10000</v>
      </c>
      <c r="Q113" s="3">
        <v>13</v>
      </c>
      <c r="R113" s="3">
        <v>29861</v>
      </c>
      <c r="S113" s="3">
        <v>208974.29500000001</v>
      </c>
    </row>
    <row r="114" spans="1:19" s="3" customFormat="1" x14ac:dyDescent="0.3">
      <c r="A114" s="3" t="s">
        <v>53</v>
      </c>
      <c r="B114" s="3">
        <v>8</v>
      </c>
      <c r="C114" s="3">
        <v>62799</v>
      </c>
      <c r="D114" s="3">
        <v>800587.09400000004</v>
      </c>
      <c r="E114" s="3">
        <v>2</v>
      </c>
      <c r="F114" s="3">
        <v>3536</v>
      </c>
      <c r="G114" s="3">
        <v>52712.236000000004</v>
      </c>
      <c r="H114" s="3">
        <v>2</v>
      </c>
      <c r="I114" s="3">
        <v>167</v>
      </c>
      <c r="J114" s="3">
        <v>1580</v>
      </c>
      <c r="K114" s="3">
        <v>0</v>
      </c>
      <c r="L114" s="3">
        <v>0</v>
      </c>
      <c r="M114" s="3">
        <v>0</v>
      </c>
      <c r="N114" s="3">
        <v>1</v>
      </c>
      <c r="O114" s="3">
        <v>1729</v>
      </c>
      <c r="P114" s="3">
        <v>20048.378000000001</v>
      </c>
      <c r="Q114" s="3">
        <v>3</v>
      </c>
      <c r="R114" s="3">
        <v>57367</v>
      </c>
      <c r="S114" s="3">
        <v>726246.48</v>
      </c>
    </row>
    <row r="115" spans="1:19" s="3" customFormat="1" x14ac:dyDescent="0.3">
      <c r="A115" s="3" t="s">
        <v>93</v>
      </c>
      <c r="B115" s="3">
        <v>4</v>
      </c>
      <c r="C115" s="3">
        <v>8223</v>
      </c>
      <c r="D115" s="3">
        <v>89258.460999999996</v>
      </c>
      <c r="E115" s="3">
        <v>2</v>
      </c>
      <c r="F115" s="3">
        <v>7476</v>
      </c>
      <c r="G115" s="3">
        <v>82122.308999999994</v>
      </c>
      <c r="H115" s="3">
        <v>0</v>
      </c>
      <c r="I115" s="3">
        <v>0</v>
      </c>
      <c r="J115" s="3">
        <v>0</v>
      </c>
      <c r="K115" s="3">
        <v>1</v>
      </c>
      <c r="L115" s="3">
        <v>147</v>
      </c>
      <c r="M115" s="3">
        <v>1386.3230000000001</v>
      </c>
      <c r="N115" s="3">
        <v>0</v>
      </c>
      <c r="O115" s="3">
        <v>0</v>
      </c>
      <c r="P115" s="3">
        <v>0</v>
      </c>
      <c r="Q115" s="3">
        <v>1</v>
      </c>
      <c r="R115" s="3">
        <v>600</v>
      </c>
      <c r="S115" s="3">
        <v>5749.8289999999997</v>
      </c>
    </row>
    <row r="116" spans="1:19" s="3" customFormat="1" x14ac:dyDescent="0.3">
      <c r="A116" s="3" t="s">
        <v>94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</row>
    <row r="117" spans="1:19" s="3" customFormat="1" x14ac:dyDescent="0.3">
      <c r="A117" s="3" t="s">
        <v>95</v>
      </c>
      <c r="B117" s="3">
        <v>2</v>
      </c>
      <c r="C117" s="3">
        <v>2136</v>
      </c>
      <c r="D117" s="3">
        <v>21972.571</v>
      </c>
      <c r="E117" s="3">
        <v>1</v>
      </c>
      <c r="F117" s="3">
        <v>2050</v>
      </c>
      <c r="G117" s="3">
        <v>19880.735000000001</v>
      </c>
      <c r="H117" s="3">
        <v>0</v>
      </c>
      <c r="I117" s="3">
        <v>0</v>
      </c>
      <c r="J117" s="3">
        <v>0</v>
      </c>
      <c r="K117" s="3">
        <v>1</v>
      </c>
      <c r="L117" s="3">
        <v>86</v>
      </c>
      <c r="M117" s="3">
        <v>2091.8359999999998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</row>
    <row r="118" spans="1:19" s="3" customFormat="1" x14ac:dyDescent="0.3"/>
    <row r="119" spans="1:19" s="3" customFormat="1" x14ac:dyDescent="0.3">
      <c r="A119" s="3" t="s">
        <v>126</v>
      </c>
      <c r="B119" s="3">
        <v>41</v>
      </c>
      <c r="C119" s="3">
        <v>25874</v>
      </c>
      <c r="D119" s="3">
        <v>362548.886</v>
      </c>
      <c r="E119" s="3">
        <v>15</v>
      </c>
      <c r="F119" s="3">
        <v>15839</v>
      </c>
      <c r="G119" s="3">
        <v>216203.39300000001</v>
      </c>
      <c r="H119" s="3">
        <v>2</v>
      </c>
      <c r="I119" s="3">
        <v>851</v>
      </c>
      <c r="J119" s="3">
        <v>15563.155000000001</v>
      </c>
      <c r="K119" s="3">
        <v>4</v>
      </c>
      <c r="L119" s="3">
        <v>1412</v>
      </c>
      <c r="M119" s="3">
        <v>27438.75</v>
      </c>
      <c r="N119" s="3">
        <v>0</v>
      </c>
      <c r="O119" s="3">
        <v>0</v>
      </c>
      <c r="P119" s="3">
        <v>0</v>
      </c>
      <c r="Q119" s="3">
        <v>20</v>
      </c>
      <c r="R119" s="3">
        <v>7772</v>
      </c>
      <c r="S119" s="3">
        <v>103343.588</v>
      </c>
    </row>
    <row r="120" spans="1:19" s="3" customFormat="1" x14ac:dyDescent="0.3">
      <c r="A120" s="3" t="s">
        <v>101</v>
      </c>
      <c r="B120" s="17">
        <v>8.2494969818913475</v>
      </c>
      <c r="C120" s="17">
        <v>5.53026319726757</v>
      </c>
      <c r="D120" s="17">
        <v>5.1289350810241743</v>
      </c>
      <c r="E120" s="17">
        <v>11.029411764705882</v>
      </c>
      <c r="F120" s="17">
        <v>14.282107465216725</v>
      </c>
      <c r="G120" s="17">
        <v>14.529639115913346</v>
      </c>
      <c r="H120" s="17">
        <v>3.278688524590164</v>
      </c>
      <c r="I120" s="17">
        <v>4.6350762527233114</v>
      </c>
      <c r="J120" s="17">
        <v>5.9261253216460741</v>
      </c>
      <c r="K120" s="17">
        <v>8.695652173913043</v>
      </c>
      <c r="L120" s="17">
        <v>5.9412606244214423</v>
      </c>
      <c r="M120" s="17">
        <v>10.31674612991034</v>
      </c>
      <c r="N120" s="17">
        <v>0</v>
      </c>
      <c r="O120" s="17">
        <v>0</v>
      </c>
      <c r="P120" s="17">
        <v>0</v>
      </c>
      <c r="Q120" s="17">
        <v>8.2987551867219906</v>
      </c>
      <c r="R120" s="17">
        <v>2.7430814136116415</v>
      </c>
      <c r="S120" s="17">
        <v>2.551874722790811</v>
      </c>
    </row>
    <row r="121" spans="1:19" s="3" customFormat="1" x14ac:dyDescent="0.3">
      <c r="A121" s="3" t="s">
        <v>60</v>
      </c>
      <c r="B121" s="3">
        <v>9</v>
      </c>
      <c r="C121" s="3">
        <v>1723</v>
      </c>
      <c r="D121" s="3">
        <v>40922.477999999996</v>
      </c>
      <c r="E121" s="3">
        <v>6</v>
      </c>
      <c r="F121" s="3">
        <v>770</v>
      </c>
      <c r="G121" s="3">
        <v>27535.762999999999</v>
      </c>
      <c r="H121" s="3">
        <v>1</v>
      </c>
      <c r="I121" s="3">
        <v>129</v>
      </c>
      <c r="J121" s="3">
        <v>1018.265</v>
      </c>
      <c r="K121" s="3">
        <v>1</v>
      </c>
      <c r="L121" s="3">
        <v>628</v>
      </c>
      <c r="M121" s="3">
        <v>7368.45</v>
      </c>
      <c r="N121" s="3">
        <v>0</v>
      </c>
      <c r="O121" s="3">
        <v>0</v>
      </c>
      <c r="P121" s="3">
        <v>0</v>
      </c>
      <c r="Q121" s="3">
        <v>1</v>
      </c>
      <c r="R121" s="3">
        <v>196</v>
      </c>
      <c r="S121" s="3">
        <v>5000</v>
      </c>
    </row>
    <row r="122" spans="1:19" s="3" customFormat="1" x14ac:dyDescent="0.3">
      <c r="A122" s="3" t="s">
        <v>56</v>
      </c>
      <c r="B122" s="3">
        <v>1</v>
      </c>
      <c r="C122" s="3">
        <v>104</v>
      </c>
      <c r="D122" s="3">
        <v>3788.462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1</v>
      </c>
      <c r="R122" s="3">
        <v>104</v>
      </c>
      <c r="S122" s="3">
        <v>3788.462</v>
      </c>
    </row>
    <row r="123" spans="1:19" s="3" customFormat="1" x14ac:dyDescent="0.3">
      <c r="A123" s="3" t="s">
        <v>57</v>
      </c>
      <c r="B123" s="3">
        <v>11</v>
      </c>
      <c r="C123" s="3">
        <v>16232</v>
      </c>
      <c r="D123" s="3">
        <v>166435.31</v>
      </c>
      <c r="E123" s="3">
        <v>2</v>
      </c>
      <c r="F123" s="3">
        <v>10400</v>
      </c>
      <c r="G123" s="3">
        <v>102916.82</v>
      </c>
      <c r="H123" s="3">
        <v>1</v>
      </c>
      <c r="I123" s="3">
        <v>722</v>
      </c>
      <c r="J123" s="3">
        <v>14544.89</v>
      </c>
      <c r="K123" s="3">
        <v>1</v>
      </c>
      <c r="L123" s="3">
        <v>350</v>
      </c>
      <c r="M123" s="3">
        <v>2729.2000000000007</v>
      </c>
      <c r="N123" s="3">
        <v>0</v>
      </c>
      <c r="O123" s="3">
        <v>0</v>
      </c>
      <c r="P123" s="3">
        <v>0</v>
      </c>
      <c r="Q123" s="3">
        <v>7</v>
      </c>
      <c r="R123" s="3">
        <v>4760</v>
      </c>
      <c r="S123" s="3">
        <v>46244.4</v>
      </c>
    </row>
    <row r="124" spans="1:19" s="3" customFormat="1" x14ac:dyDescent="0.3">
      <c r="A124" s="3" t="s">
        <v>58</v>
      </c>
      <c r="B124" s="3">
        <v>8</v>
      </c>
      <c r="C124" s="3">
        <v>4644</v>
      </c>
      <c r="D124" s="3">
        <v>61839.710000000006</v>
      </c>
      <c r="E124" s="3">
        <v>2</v>
      </c>
      <c r="F124" s="3">
        <v>2783</v>
      </c>
      <c r="G124" s="3">
        <v>32856.910000000003</v>
      </c>
      <c r="H124" s="3">
        <v>0</v>
      </c>
      <c r="I124" s="3">
        <v>0</v>
      </c>
      <c r="J124" s="3">
        <v>0</v>
      </c>
      <c r="K124" s="3">
        <v>1</v>
      </c>
      <c r="L124" s="3">
        <v>94</v>
      </c>
      <c r="M124" s="3">
        <v>412.4</v>
      </c>
      <c r="N124" s="3">
        <v>0</v>
      </c>
      <c r="O124" s="3">
        <v>0</v>
      </c>
      <c r="P124" s="3">
        <v>0</v>
      </c>
      <c r="Q124" s="3">
        <v>5</v>
      </c>
      <c r="R124" s="3">
        <v>1767</v>
      </c>
      <c r="S124" s="3">
        <v>28570.400000000001</v>
      </c>
    </row>
    <row r="125" spans="1:19" s="3" customFormat="1" x14ac:dyDescent="0.3">
      <c r="A125" s="3" t="s">
        <v>138</v>
      </c>
      <c r="B125" s="3">
        <v>2</v>
      </c>
      <c r="C125" s="3">
        <v>175</v>
      </c>
      <c r="D125" s="3">
        <v>7943.6260000000002</v>
      </c>
      <c r="E125" s="3">
        <v>1</v>
      </c>
      <c r="F125" s="3">
        <v>126</v>
      </c>
      <c r="G125" s="3">
        <v>5970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1</v>
      </c>
      <c r="R125" s="3">
        <v>49</v>
      </c>
      <c r="S125" s="3">
        <v>1973.626</v>
      </c>
    </row>
    <row r="126" spans="1:19" s="3" customFormat="1" x14ac:dyDescent="0.3">
      <c r="A126" s="3" t="s">
        <v>59</v>
      </c>
      <c r="B126" s="3">
        <v>6</v>
      </c>
      <c r="C126" s="3">
        <v>1414</v>
      </c>
      <c r="D126" s="3">
        <v>26559.7</v>
      </c>
      <c r="E126" s="3">
        <v>2</v>
      </c>
      <c r="F126" s="3">
        <v>600</v>
      </c>
      <c r="G126" s="3">
        <v>10000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4</v>
      </c>
      <c r="R126" s="3">
        <v>814</v>
      </c>
      <c r="S126" s="3">
        <v>16559.7</v>
      </c>
    </row>
    <row r="127" spans="1:19" s="3" customFormat="1" x14ac:dyDescent="0.3">
      <c r="A127" s="3" t="s">
        <v>96</v>
      </c>
      <c r="B127" s="3">
        <v>4</v>
      </c>
      <c r="C127" s="3">
        <v>1582</v>
      </c>
      <c r="D127" s="3">
        <v>55059.600000000006</v>
      </c>
      <c r="E127" s="3">
        <v>2</v>
      </c>
      <c r="F127" s="3">
        <v>1160</v>
      </c>
      <c r="G127" s="3">
        <v>36923.9</v>
      </c>
      <c r="H127" s="3">
        <v>0</v>
      </c>
      <c r="I127" s="3">
        <v>0</v>
      </c>
      <c r="J127" s="3">
        <v>0</v>
      </c>
      <c r="K127" s="3">
        <v>1</v>
      </c>
      <c r="L127" s="3">
        <v>340</v>
      </c>
      <c r="M127" s="3">
        <v>16928.7</v>
      </c>
      <c r="N127" s="3">
        <v>0</v>
      </c>
      <c r="O127" s="3">
        <v>0</v>
      </c>
      <c r="P127" s="3">
        <v>0</v>
      </c>
      <c r="Q127" s="3">
        <v>1</v>
      </c>
      <c r="R127" s="3">
        <v>82</v>
      </c>
      <c r="S127" s="3">
        <v>1207</v>
      </c>
    </row>
    <row r="128" spans="1:19" s="3" customFormat="1" x14ac:dyDescent="0.3"/>
    <row r="129" spans="1:19" s="3" customFormat="1" x14ac:dyDescent="0.3">
      <c r="A129" s="3" t="s">
        <v>127</v>
      </c>
      <c r="B129" s="3">
        <v>4</v>
      </c>
      <c r="C129" s="3">
        <v>1669</v>
      </c>
      <c r="D129" s="3">
        <v>44301.993999999999</v>
      </c>
      <c r="E129" s="3">
        <v>2</v>
      </c>
      <c r="F129" s="3">
        <v>991</v>
      </c>
      <c r="G129" s="3">
        <v>34500</v>
      </c>
      <c r="H129" s="3">
        <v>2</v>
      </c>
      <c r="I129" s="3">
        <v>678</v>
      </c>
      <c r="J129" s="3">
        <v>9801.9940000000006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</row>
    <row r="130" spans="1:19" s="3" customFormat="1" x14ac:dyDescent="0.3">
      <c r="A130" s="3" t="s">
        <v>101</v>
      </c>
      <c r="B130" s="17">
        <v>0.8048289738430584</v>
      </c>
      <c r="C130" s="17">
        <v>0.35672912098011805</v>
      </c>
      <c r="D130" s="17">
        <v>0.6267349313712206</v>
      </c>
      <c r="E130" s="17">
        <v>1.4705882352941175</v>
      </c>
      <c r="F130" s="17">
        <v>0.89358977827070984</v>
      </c>
      <c r="G130" s="17">
        <v>2.3185230469487146</v>
      </c>
      <c r="H130" s="17">
        <v>3.278688524590164</v>
      </c>
      <c r="I130" s="17">
        <v>3.6928104575163401</v>
      </c>
      <c r="J130" s="17">
        <v>3.7323951888947251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</row>
    <row r="131" spans="1:19" s="3" customFormat="1" x14ac:dyDescent="0.3">
      <c r="A131" s="3" t="s">
        <v>105</v>
      </c>
      <c r="B131" s="3">
        <v>2</v>
      </c>
      <c r="C131" s="3">
        <v>1350</v>
      </c>
      <c r="D131" s="3">
        <v>41439.953000000001</v>
      </c>
      <c r="E131" s="3">
        <v>1</v>
      </c>
      <c r="F131" s="3">
        <v>800</v>
      </c>
      <c r="G131" s="3">
        <v>32000</v>
      </c>
      <c r="H131" s="3">
        <v>1</v>
      </c>
      <c r="I131" s="3">
        <v>550</v>
      </c>
      <c r="J131" s="3">
        <v>9439.9529999999995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1:19" s="3" customFormat="1" x14ac:dyDescent="0.3">
      <c r="A132" s="3" t="s">
        <v>106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</row>
    <row r="133" spans="1:19" s="3" customFormat="1" x14ac:dyDescent="0.3">
      <c r="A133" s="3" t="s">
        <v>61</v>
      </c>
      <c r="B133" s="3">
        <v>2</v>
      </c>
      <c r="C133" s="3">
        <v>319</v>
      </c>
      <c r="D133" s="3">
        <v>2862.0410000000002</v>
      </c>
      <c r="E133" s="3">
        <v>1</v>
      </c>
      <c r="F133" s="3">
        <v>191</v>
      </c>
      <c r="G133" s="3">
        <v>2500</v>
      </c>
      <c r="H133" s="3">
        <v>1</v>
      </c>
      <c r="I133" s="3">
        <v>128</v>
      </c>
      <c r="J133" s="3">
        <v>362.041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</row>
    <row r="134" spans="1:19" s="3" customFormat="1" x14ac:dyDescent="0.3">
      <c r="A134" s="9" t="s">
        <v>139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</row>
    <row r="135" spans="1:19" s="3" customFormat="1" x14ac:dyDescent="0.3">
      <c r="A135" s="9" t="s">
        <v>137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</row>
    <row r="136" spans="1:19" s="3" customFormat="1" x14ac:dyDescent="0.3"/>
    <row r="137" spans="1:19" s="3" customFormat="1" x14ac:dyDescent="0.3">
      <c r="A137" s="3" t="s">
        <v>128</v>
      </c>
      <c r="B137" s="3">
        <v>30</v>
      </c>
      <c r="C137" s="3">
        <v>31291</v>
      </c>
      <c r="D137" s="3">
        <v>251924.242</v>
      </c>
      <c r="E137" s="3">
        <v>3</v>
      </c>
      <c r="F137" s="3">
        <v>5121</v>
      </c>
      <c r="G137" s="3">
        <v>52372.156999999999</v>
      </c>
      <c r="H137" s="3">
        <v>3</v>
      </c>
      <c r="I137" s="3">
        <v>1901</v>
      </c>
      <c r="J137" s="3">
        <v>16174.378000000001</v>
      </c>
      <c r="K137" s="3">
        <v>3</v>
      </c>
      <c r="L137" s="3">
        <v>3241</v>
      </c>
      <c r="M137" s="3">
        <v>24483.99</v>
      </c>
      <c r="N137" s="3">
        <v>1</v>
      </c>
      <c r="O137" s="3">
        <v>186</v>
      </c>
      <c r="P137" s="3">
        <v>1277.463</v>
      </c>
      <c r="Q137" s="3">
        <v>20</v>
      </c>
      <c r="R137" s="3">
        <v>20842</v>
      </c>
      <c r="S137" s="3">
        <v>157616.25399999999</v>
      </c>
    </row>
    <row r="138" spans="1:19" s="3" customFormat="1" x14ac:dyDescent="0.3">
      <c r="A138" s="3" t="s">
        <v>101</v>
      </c>
      <c r="B138" s="17">
        <v>6.0362173038229372</v>
      </c>
      <c r="C138" s="17">
        <v>6.6880832382198161</v>
      </c>
      <c r="D138" s="17">
        <v>3.563941670901241</v>
      </c>
      <c r="E138" s="17">
        <v>2.2058823529411766</v>
      </c>
      <c r="F138" s="17">
        <v>4.6176319420023271</v>
      </c>
      <c r="G138" s="17">
        <v>3.51959573979468</v>
      </c>
      <c r="H138" s="17">
        <v>4.918032786885246</v>
      </c>
      <c r="I138" s="17">
        <v>10.354030501089325</v>
      </c>
      <c r="J138" s="17">
        <v>6.1588663113408035</v>
      </c>
      <c r="K138" s="17">
        <v>6.5217391304347823</v>
      </c>
      <c r="L138" s="17">
        <v>13.637128671210974</v>
      </c>
      <c r="M138" s="17">
        <v>9.2057804775094887</v>
      </c>
      <c r="N138" s="17">
        <v>7.6923076923076925</v>
      </c>
      <c r="O138" s="17">
        <v>0.59040121889283903</v>
      </c>
      <c r="P138" s="17">
        <v>0.1274422493011553</v>
      </c>
      <c r="Q138" s="17">
        <v>8.2987551867219906</v>
      </c>
      <c r="R138" s="17">
        <v>7.3560605793224179</v>
      </c>
      <c r="S138" s="17">
        <v>3.8920357060137682</v>
      </c>
    </row>
    <row r="139" spans="1:19" s="3" customFormat="1" x14ac:dyDescent="0.3">
      <c r="A139" s="3" t="s">
        <v>62</v>
      </c>
      <c r="B139" s="3">
        <v>17</v>
      </c>
      <c r="C139" s="3">
        <v>21039</v>
      </c>
      <c r="D139" s="3">
        <v>170181.30300000001</v>
      </c>
      <c r="E139" s="3">
        <v>1</v>
      </c>
      <c r="F139" s="3">
        <v>4264</v>
      </c>
      <c r="G139" s="3">
        <v>29181.03</v>
      </c>
      <c r="H139" s="3">
        <v>3</v>
      </c>
      <c r="I139" s="3">
        <v>1901</v>
      </c>
      <c r="J139" s="3">
        <v>16174.378000000001</v>
      </c>
      <c r="K139" s="3">
        <v>1</v>
      </c>
      <c r="L139" s="3">
        <v>329</v>
      </c>
      <c r="M139" s="3">
        <v>2257.578</v>
      </c>
      <c r="N139" s="3">
        <v>1</v>
      </c>
      <c r="O139" s="3">
        <v>186</v>
      </c>
      <c r="P139" s="3">
        <v>1277.463</v>
      </c>
      <c r="Q139" s="3">
        <v>11</v>
      </c>
      <c r="R139" s="3">
        <v>14359</v>
      </c>
      <c r="S139" s="3">
        <v>121290.85400000001</v>
      </c>
    </row>
    <row r="140" spans="1:19" s="3" customFormat="1" x14ac:dyDescent="0.3">
      <c r="A140" s="3" t="s">
        <v>63</v>
      </c>
      <c r="B140" s="3">
        <v>1</v>
      </c>
      <c r="C140" s="3">
        <v>374</v>
      </c>
      <c r="D140" s="3">
        <v>12610.831</v>
      </c>
      <c r="E140" s="3">
        <v>1</v>
      </c>
      <c r="F140" s="3">
        <v>374</v>
      </c>
      <c r="G140" s="3">
        <v>12610.831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</row>
    <row r="141" spans="1:19" s="3" customFormat="1" x14ac:dyDescent="0.3">
      <c r="A141" s="3" t="s">
        <v>107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</row>
    <row r="142" spans="1:19" s="3" customFormat="1" x14ac:dyDescent="0.3">
      <c r="A142" s="3" t="s">
        <v>64</v>
      </c>
      <c r="B142" s="3">
        <v>9</v>
      </c>
      <c r="C142" s="3">
        <v>8749</v>
      </c>
      <c r="D142" s="3">
        <v>43765.145000000004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1</v>
      </c>
      <c r="L142" s="3">
        <v>2487</v>
      </c>
      <c r="M142" s="3">
        <v>12439.745000000001</v>
      </c>
      <c r="N142" s="3">
        <v>0</v>
      </c>
      <c r="O142" s="3">
        <v>0</v>
      </c>
      <c r="P142" s="3">
        <v>0</v>
      </c>
      <c r="Q142" s="3">
        <v>8</v>
      </c>
      <c r="R142" s="3">
        <v>6262</v>
      </c>
      <c r="S142" s="3">
        <v>31325.4</v>
      </c>
    </row>
    <row r="143" spans="1:19" s="3" customFormat="1" x14ac:dyDescent="0.3">
      <c r="A143" s="3" t="s">
        <v>65</v>
      </c>
      <c r="B143" s="3">
        <v>2</v>
      </c>
      <c r="C143" s="3">
        <v>704</v>
      </c>
      <c r="D143" s="3">
        <v>15580.296</v>
      </c>
      <c r="E143" s="3">
        <v>1</v>
      </c>
      <c r="F143" s="3">
        <v>483</v>
      </c>
      <c r="G143" s="3">
        <v>10580.296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221</v>
      </c>
      <c r="S143" s="3">
        <v>5000</v>
      </c>
    </row>
    <row r="144" spans="1:19" s="3" customFormat="1" x14ac:dyDescent="0.3">
      <c r="A144" s="9" t="s">
        <v>152</v>
      </c>
      <c r="B144" s="3">
        <v>1</v>
      </c>
      <c r="C144" s="3">
        <v>425</v>
      </c>
      <c r="D144" s="3">
        <v>9786.6669999999995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1</v>
      </c>
      <c r="L144" s="3">
        <v>425</v>
      </c>
      <c r="M144" s="3">
        <v>9786.6669999999995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</row>
    <row r="145" spans="1:19" s="3" customFormat="1" x14ac:dyDescent="0.3">
      <c r="A145" s="3" t="s">
        <v>97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spans="1:19" s="3" customFormat="1" x14ac:dyDescent="0.3"/>
    <row r="147" spans="1:19" s="3" customFormat="1" x14ac:dyDescent="0.3">
      <c r="A147" s="3" t="s">
        <v>129</v>
      </c>
      <c r="B147" s="3">
        <v>33</v>
      </c>
      <c r="C147" s="3">
        <v>21939</v>
      </c>
      <c r="D147" s="3">
        <v>301409.28599999996</v>
      </c>
      <c r="E147" s="3">
        <v>6</v>
      </c>
      <c r="F147" s="3">
        <v>4414</v>
      </c>
      <c r="G147" s="3">
        <v>31824.991999999998</v>
      </c>
      <c r="H147" s="3">
        <v>5</v>
      </c>
      <c r="I147" s="3">
        <v>1186</v>
      </c>
      <c r="J147" s="3">
        <v>20800.530999999999</v>
      </c>
      <c r="K147" s="3">
        <v>4</v>
      </c>
      <c r="L147" s="3">
        <v>628</v>
      </c>
      <c r="M147" s="3">
        <v>4620.433</v>
      </c>
      <c r="N147" s="3">
        <v>0</v>
      </c>
      <c r="O147" s="3">
        <v>0</v>
      </c>
      <c r="P147" s="3">
        <v>0</v>
      </c>
      <c r="Q147" s="3">
        <v>18</v>
      </c>
      <c r="R147" s="3">
        <v>15711</v>
      </c>
      <c r="S147" s="3">
        <v>244163.33</v>
      </c>
    </row>
    <row r="148" spans="1:19" s="3" customFormat="1" x14ac:dyDescent="0.3">
      <c r="A148" s="3" t="s">
        <v>101</v>
      </c>
      <c r="B148" s="17">
        <v>6.6398390342052318</v>
      </c>
      <c r="C148" s="17">
        <v>4.6892032265924568</v>
      </c>
      <c r="D148" s="17">
        <v>4.2640005814604773</v>
      </c>
      <c r="E148" s="17">
        <v>4.4117647058823533</v>
      </c>
      <c r="F148" s="17">
        <v>3.9801264190584398</v>
      </c>
      <c r="G148" s="17">
        <v>2.1387529687234337</v>
      </c>
      <c r="H148" s="17">
        <v>8.1967213114754092</v>
      </c>
      <c r="I148" s="17">
        <v>6.4596949891067537</v>
      </c>
      <c r="J148" s="17">
        <v>7.9204090342083031</v>
      </c>
      <c r="K148" s="17">
        <v>8.695652173913043</v>
      </c>
      <c r="L148" s="17">
        <v>2.642430362703021</v>
      </c>
      <c r="M148" s="17">
        <v>1.7372451103370241</v>
      </c>
      <c r="N148" s="17">
        <v>0</v>
      </c>
      <c r="O148" s="17">
        <v>0</v>
      </c>
      <c r="P148" s="17">
        <v>0</v>
      </c>
      <c r="Q148" s="17">
        <v>7.4688796680497926</v>
      </c>
      <c r="R148" s="17">
        <v>5.5451044890957926</v>
      </c>
      <c r="S148" s="17">
        <v>6.0291522881848385</v>
      </c>
    </row>
    <row r="149" spans="1:19" s="3" customFormat="1" x14ac:dyDescent="0.3">
      <c r="A149" s="3" t="s">
        <v>66</v>
      </c>
      <c r="B149" s="3">
        <v>14</v>
      </c>
      <c r="C149" s="3">
        <v>3450</v>
      </c>
      <c r="D149" s="3">
        <v>78970.135999999999</v>
      </c>
      <c r="E149" s="3">
        <v>1</v>
      </c>
      <c r="F149" s="3">
        <v>161</v>
      </c>
      <c r="G149" s="3">
        <v>3000</v>
      </c>
      <c r="H149" s="3">
        <v>0</v>
      </c>
      <c r="I149" s="3">
        <v>0</v>
      </c>
      <c r="J149" s="3">
        <v>0</v>
      </c>
      <c r="K149" s="3">
        <v>2</v>
      </c>
      <c r="L149" s="3">
        <v>508</v>
      </c>
      <c r="M149" s="3">
        <v>4115.0050000000001</v>
      </c>
      <c r="N149" s="3">
        <v>0</v>
      </c>
      <c r="O149" s="3">
        <v>0</v>
      </c>
      <c r="P149" s="3">
        <v>0</v>
      </c>
      <c r="Q149" s="3">
        <v>11</v>
      </c>
      <c r="R149" s="3">
        <v>2781</v>
      </c>
      <c r="S149" s="3">
        <v>71855.130999999994</v>
      </c>
    </row>
    <row r="150" spans="1:19" s="3" customFormat="1" x14ac:dyDescent="0.3">
      <c r="A150" s="3" t="s">
        <v>108</v>
      </c>
      <c r="B150" s="3">
        <v>8</v>
      </c>
      <c r="C150" s="3">
        <v>4059</v>
      </c>
      <c r="D150" s="3">
        <v>32820.938000000002</v>
      </c>
      <c r="E150" s="3">
        <v>1</v>
      </c>
      <c r="F150" s="3">
        <v>472</v>
      </c>
      <c r="G150" s="3">
        <v>2175.6</v>
      </c>
      <c r="H150" s="3">
        <v>2</v>
      </c>
      <c r="I150" s="3">
        <v>359</v>
      </c>
      <c r="J150" s="3">
        <v>6744.4359999999997</v>
      </c>
      <c r="K150" s="3">
        <v>1</v>
      </c>
      <c r="L150" s="3">
        <v>20</v>
      </c>
      <c r="M150" s="3">
        <v>194.07599999999999</v>
      </c>
      <c r="N150" s="3">
        <v>0</v>
      </c>
      <c r="O150" s="3">
        <v>0</v>
      </c>
      <c r="P150" s="3">
        <v>0</v>
      </c>
      <c r="Q150" s="3">
        <v>4</v>
      </c>
      <c r="R150" s="3">
        <v>3208</v>
      </c>
      <c r="S150" s="3">
        <v>23706.826000000001</v>
      </c>
    </row>
    <row r="151" spans="1:19" s="3" customFormat="1" x14ac:dyDescent="0.3">
      <c r="A151" s="3" t="s">
        <v>109</v>
      </c>
      <c r="B151" s="3">
        <v>5</v>
      </c>
      <c r="C151" s="3">
        <v>2435</v>
      </c>
      <c r="D151" s="3">
        <v>15439.933999999997</v>
      </c>
      <c r="E151" s="3">
        <v>2</v>
      </c>
      <c r="F151" s="3">
        <v>2121</v>
      </c>
      <c r="G151" s="3">
        <v>8840.4389999999985</v>
      </c>
      <c r="H151" s="3">
        <v>2</v>
      </c>
      <c r="I151" s="3">
        <v>227</v>
      </c>
      <c r="J151" s="3">
        <v>6300.4949999999999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3">
        <v>87</v>
      </c>
      <c r="S151" s="3">
        <v>299</v>
      </c>
    </row>
    <row r="152" spans="1:19" s="3" customFormat="1" x14ac:dyDescent="0.3">
      <c r="A152" s="3" t="s">
        <v>67</v>
      </c>
      <c r="B152" s="3">
        <v>1</v>
      </c>
      <c r="C152" s="3">
        <v>600</v>
      </c>
      <c r="D152" s="3">
        <v>7755.6</v>
      </c>
      <c r="E152" s="3">
        <v>0</v>
      </c>
      <c r="F152" s="3">
        <v>0</v>
      </c>
      <c r="G152" s="3">
        <v>0</v>
      </c>
      <c r="H152" s="3">
        <v>1</v>
      </c>
      <c r="I152" s="3">
        <v>600</v>
      </c>
      <c r="J152" s="3">
        <v>7755.6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</row>
    <row r="153" spans="1:19" s="3" customFormat="1" x14ac:dyDescent="0.3">
      <c r="A153" s="3" t="s">
        <v>110</v>
      </c>
      <c r="B153" s="3">
        <v>4</v>
      </c>
      <c r="C153" s="3">
        <v>10395</v>
      </c>
      <c r="D153" s="3">
        <v>156453.177</v>
      </c>
      <c r="E153" s="3">
        <v>1</v>
      </c>
      <c r="F153" s="3">
        <v>660</v>
      </c>
      <c r="G153" s="3">
        <v>7839.4520000000002</v>
      </c>
      <c r="H153" s="3">
        <v>0</v>
      </c>
      <c r="I153" s="3">
        <v>0</v>
      </c>
      <c r="J153" s="3">
        <v>0</v>
      </c>
      <c r="K153" s="3">
        <v>1</v>
      </c>
      <c r="L153" s="3">
        <v>100</v>
      </c>
      <c r="M153" s="3">
        <v>311.35199999999998</v>
      </c>
      <c r="N153" s="3">
        <v>0</v>
      </c>
      <c r="O153" s="3">
        <v>0</v>
      </c>
      <c r="P153" s="3">
        <v>0</v>
      </c>
      <c r="Q153" s="3">
        <v>2</v>
      </c>
      <c r="R153" s="3">
        <v>9635</v>
      </c>
      <c r="S153" s="3">
        <v>148302.37299999999</v>
      </c>
    </row>
    <row r="154" spans="1:19" s="3" customFormat="1" x14ac:dyDescent="0.3">
      <c r="A154" s="3" t="s">
        <v>98</v>
      </c>
      <c r="B154" s="3">
        <v>1</v>
      </c>
      <c r="C154" s="3">
        <v>1000</v>
      </c>
      <c r="D154" s="3">
        <v>9969.5010000000002</v>
      </c>
      <c r="E154" s="3">
        <v>1</v>
      </c>
      <c r="F154" s="3">
        <v>1000</v>
      </c>
      <c r="G154" s="3">
        <v>9969.5010000000002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</row>
    <row r="155" spans="1:19" s="3" customFormat="1" x14ac:dyDescent="0.3"/>
    <row r="156" spans="1:19" s="3" customFormat="1" x14ac:dyDescent="0.3">
      <c r="A156" s="3" t="s">
        <v>130</v>
      </c>
      <c r="B156" s="3">
        <v>24</v>
      </c>
      <c r="C156" s="3">
        <v>9791</v>
      </c>
      <c r="D156" s="3">
        <v>95373.455000000002</v>
      </c>
      <c r="E156" s="3">
        <v>11</v>
      </c>
      <c r="F156" s="3">
        <v>3805</v>
      </c>
      <c r="G156" s="3">
        <v>45182.482000000004</v>
      </c>
      <c r="H156" s="3">
        <v>5</v>
      </c>
      <c r="I156" s="3">
        <v>2747</v>
      </c>
      <c r="J156" s="3">
        <v>18929.260999999999</v>
      </c>
      <c r="K156" s="3">
        <v>1</v>
      </c>
      <c r="L156" s="3">
        <v>172</v>
      </c>
      <c r="M156" s="3">
        <v>735.96299999999974</v>
      </c>
      <c r="N156" s="3">
        <v>0</v>
      </c>
      <c r="O156" s="3">
        <v>0</v>
      </c>
      <c r="P156" s="3">
        <v>0</v>
      </c>
      <c r="Q156" s="3">
        <v>7</v>
      </c>
      <c r="R156" s="3">
        <v>3067</v>
      </c>
      <c r="S156" s="3">
        <v>30525.749</v>
      </c>
    </row>
    <row r="157" spans="1:19" s="3" customFormat="1" x14ac:dyDescent="0.3">
      <c r="A157" s="3" t="s">
        <v>101</v>
      </c>
      <c r="B157" s="17">
        <v>4.8289738430583498</v>
      </c>
      <c r="C157" s="17">
        <v>2.0927110985718009</v>
      </c>
      <c r="D157" s="17">
        <v>1.3492366906568856</v>
      </c>
      <c r="E157" s="17">
        <v>8.0882352941176467</v>
      </c>
      <c r="F157" s="17">
        <v>3.4309879983047944</v>
      </c>
      <c r="G157" s="19">
        <v>3.0364239372563899</v>
      </c>
      <c r="H157" s="17">
        <v>8.1967213114754092</v>
      </c>
      <c r="I157" s="17">
        <v>14.961873638344226</v>
      </c>
      <c r="J157" s="17">
        <v>7.2078683873640959</v>
      </c>
      <c r="K157" s="17">
        <v>2.1739130434782608</v>
      </c>
      <c r="L157" s="17">
        <v>0.72372296558108218</v>
      </c>
      <c r="M157" s="17">
        <v>0.27671608334954034</v>
      </c>
      <c r="N157" s="17">
        <v>0</v>
      </c>
      <c r="O157" s="17">
        <v>0</v>
      </c>
      <c r="P157" s="17">
        <v>0</v>
      </c>
      <c r="Q157" s="17">
        <v>2.904564315352697</v>
      </c>
      <c r="R157" s="17">
        <v>1.0824795027723757</v>
      </c>
      <c r="S157" s="17">
        <v>0.75377571821250178</v>
      </c>
    </row>
    <row r="158" spans="1:19" s="3" customFormat="1" x14ac:dyDescent="0.3">
      <c r="A158" s="3" t="s">
        <v>135</v>
      </c>
      <c r="B158" s="3">
        <v>11</v>
      </c>
      <c r="C158" s="3">
        <v>4394</v>
      </c>
      <c r="D158" s="3">
        <v>42347.601000000002</v>
      </c>
      <c r="E158" s="3">
        <v>3</v>
      </c>
      <c r="F158" s="3">
        <v>1378</v>
      </c>
      <c r="G158" s="3">
        <v>11379.285</v>
      </c>
      <c r="H158" s="3">
        <v>1</v>
      </c>
      <c r="I158" s="3">
        <v>49</v>
      </c>
      <c r="J158" s="3">
        <v>232.35300000000001</v>
      </c>
      <c r="K158" s="3">
        <v>1</v>
      </c>
      <c r="L158" s="3">
        <v>172</v>
      </c>
      <c r="M158" s="3">
        <v>735.96299999999997</v>
      </c>
      <c r="N158" s="3">
        <v>0</v>
      </c>
      <c r="O158" s="3">
        <v>0</v>
      </c>
      <c r="P158" s="3">
        <v>0</v>
      </c>
      <c r="Q158" s="3">
        <v>6</v>
      </c>
      <c r="R158" s="3">
        <v>2795</v>
      </c>
      <c r="S158" s="3">
        <v>30000</v>
      </c>
    </row>
    <row r="159" spans="1:19" s="3" customFormat="1" x14ac:dyDescent="0.3">
      <c r="A159" s="3" t="s">
        <v>70</v>
      </c>
      <c r="B159" s="3">
        <v>1</v>
      </c>
      <c r="C159" s="3">
        <v>42</v>
      </c>
      <c r="D159" s="3">
        <v>335</v>
      </c>
      <c r="E159" s="3">
        <v>0</v>
      </c>
      <c r="F159" s="3">
        <v>0</v>
      </c>
      <c r="G159" s="3">
        <v>0</v>
      </c>
      <c r="H159" s="3">
        <v>1</v>
      </c>
      <c r="I159" s="3">
        <v>42</v>
      </c>
      <c r="J159" s="3">
        <v>335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</row>
    <row r="160" spans="1:19" s="3" customFormat="1" x14ac:dyDescent="0.3">
      <c r="A160" s="3" t="s">
        <v>68</v>
      </c>
      <c r="B160" s="3">
        <v>10</v>
      </c>
      <c r="C160" s="3">
        <v>2896</v>
      </c>
      <c r="D160" s="3">
        <v>37145.228999999999</v>
      </c>
      <c r="E160" s="3">
        <v>8</v>
      </c>
      <c r="F160" s="3">
        <v>2427</v>
      </c>
      <c r="G160" s="3">
        <v>33803.197</v>
      </c>
      <c r="H160" s="3">
        <v>1</v>
      </c>
      <c r="I160" s="3">
        <v>197</v>
      </c>
      <c r="J160" s="3">
        <v>2816.2829999999994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1</v>
      </c>
      <c r="R160" s="3">
        <v>272</v>
      </c>
      <c r="S160" s="3">
        <v>525.74900000000002</v>
      </c>
    </row>
    <row r="161" spans="1:19" s="3" customFormat="1" x14ac:dyDescent="0.3">
      <c r="A161" s="3" t="s">
        <v>69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</row>
    <row r="162" spans="1:19" s="3" customFormat="1" x14ac:dyDescent="0.3">
      <c r="A162" s="9" t="s">
        <v>99</v>
      </c>
      <c r="B162" s="3">
        <v>2</v>
      </c>
      <c r="C162" s="3">
        <v>2459</v>
      </c>
      <c r="D162" s="3">
        <v>15545.625</v>
      </c>
      <c r="E162" s="3">
        <v>0</v>
      </c>
      <c r="F162" s="3">
        <v>0</v>
      </c>
      <c r="G162" s="3">
        <v>0</v>
      </c>
      <c r="H162" s="3">
        <v>2</v>
      </c>
      <c r="I162" s="3">
        <v>2459</v>
      </c>
      <c r="J162" s="3">
        <v>15545.625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</row>
    <row r="163" spans="1:19" s="3" customFormat="1" x14ac:dyDescent="0.3">
      <c r="A163" s="9"/>
    </row>
    <row r="164" spans="1:19" s="3" customFormat="1" x14ac:dyDescent="0.3">
      <c r="A164" s="3" t="s">
        <v>131</v>
      </c>
      <c r="B164" s="3">
        <v>4</v>
      </c>
      <c r="C164" s="3">
        <v>2892</v>
      </c>
      <c r="D164" s="3">
        <v>34008.097999999998</v>
      </c>
      <c r="E164" s="3">
        <v>2</v>
      </c>
      <c r="F164" s="3">
        <v>1569</v>
      </c>
      <c r="G164" s="3">
        <v>18446.534</v>
      </c>
      <c r="H164" s="3">
        <v>2</v>
      </c>
      <c r="I164" s="3">
        <v>1323</v>
      </c>
      <c r="J164" s="3">
        <v>15561.564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</row>
    <row r="165" spans="1:19" s="3" customFormat="1" x14ac:dyDescent="0.3">
      <c r="A165" s="3" t="s">
        <v>101</v>
      </c>
      <c r="B165" s="17">
        <v>0.8048289738430584</v>
      </c>
      <c r="C165" s="17">
        <v>0.61813098734242156</v>
      </c>
      <c r="D165" s="17">
        <v>0.481108434218463</v>
      </c>
      <c r="E165" s="17">
        <v>1.4705882352941175</v>
      </c>
      <c r="F165" s="17">
        <v>1.4147753401682581</v>
      </c>
      <c r="G165" s="17">
        <v>1.2396728758064655</v>
      </c>
      <c r="H165" s="17">
        <v>3.278688524590164</v>
      </c>
      <c r="I165" s="17">
        <v>7.2058823529411757</v>
      </c>
      <c r="J165" s="17">
        <v>5.9255195019786129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</row>
    <row r="166" spans="1:19" s="3" customFormat="1" x14ac:dyDescent="0.3">
      <c r="A166" s="3" t="s">
        <v>111</v>
      </c>
      <c r="B166" s="3">
        <v>3</v>
      </c>
      <c r="C166" s="3">
        <v>2077</v>
      </c>
      <c r="D166" s="3">
        <v>24424.079999999998</v>
      </c>
      <c r="E166" s="3">
        <v>1</v>
      </c>
      <c r="F166" s="3">
        <v>754</v>
      </c>
      <c r="G166" s="3">
        <v>8862.5159999999996</v>
      </c>
      <c r="H166" s="3">
        <v>2</v>
      </c>
      <c r="I166" s="3">
        <v>1323</v>
      </c>
      <c r="J166" s="3">
        <v>15561.564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</row>
    <row r="167" spans="1:19" s="3" customFormat="1" x14ac:dyDescent="0.3">
      <c r="A167" s="3" t="s">
        <v>112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</row>
    <row r="168" spans="1:19" s="3" customFormat="1" x14ac:dyDescent="0.3">
      <c r="A168" s="3" t="s">
        <v>113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</row>
    <row r="169" spans="1:19" s="3" customFormat="1" x14ac:dyDescent="0.3">
      <c r="A169" s="3" t="s">
        <v>114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</row>
    <row r="170" spans="1:19" s="3" customFormat="1" x14ac:dyDescent="0.3">
      <c r="A170" s="3" t="s">
        <v>115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</row>
    <row r="171" spans="1:19" s="3" customFormat="1" x14ac:dyDescent="0.3">
      <c r="A171" s="9" t="s">
        <v>136</v>
      </c>
      <c r="B171" s="3">
        <v>1</v>
      </c>
      <c r="C171" s="3">
        <v>815</v>
      </c>
      <c r="D171" s="3">
        <v>9584.018</v>
      </c>
      <c r="E171" s="3">
        <v>1</v>
      </c>
      <c r="F171" s="3">
        <v>815</v>
      </c>
      <c r="G171" s="3">
        <v>9584.018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</row>
    <row r="172" spans="1:19" s="3" customFormat="1" x14ac:dyDescent="0.3"/>
    <row r="173" spans="1:19" s="3" customFormat="1" ht="27.6" x14ac:dyDescent="0.3">
      <c r="A173" s="13" t="s">
        <v>100</v>
      </c>
      <c r="B173" s="3">
        <v>1</v>
      </c>
      <c r="C173" s="3">
        <v>1004</v>
      </c>
      <c r="D173" s="3">
        <v>1936.498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1</v>
      </c>
      <c r="L173" s="3">
        <v>1004</v>
      </c>
      <c r="M173" s="3">
        <v>1936.498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</row>
    <row r="174" spans="1:19" s="3" customFormat="1" x14ac:dyDescent="0.3">
      <c r="A174" s="3" t="s">
        <v>101</v>
      </c>
      <c r="B174" s="17">
        <v>0.2012072434607646</v>
      </c>
      <c r="C174" s="17">
        <v>0.21459319200960969</v>
      </c>
      <c r="D174" s="19" t="s">
        <v>155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2.1739130434782608</v>
      </c>
      <c r="L174" s="17">
        <v>4.2245224269965496</v>
      </c>
      <c r="M174" s="17">
        <v>0.72810744830136631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</row>
    <row r="175" spans="1:19" s="3" customFormat="1" x14ac:dyDescent="0.3">
      <c r="A175" s="3" t="s">
        <v>141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</row>
    <row r="176" spans="1:19" s="3" customFormat="1" x14ac:dyDescent="0.3">
      <c r="A176" s="3" t="s">
        <v>140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</row>
    <row r="177" spans="1:19" s="3" customFormat="1" x14ac:dyDescent="0.3">
      <c r="A177" s="3" t="s">
        <v>147</v>
      </c>
      <c r="B177" s="3">
        <v>1</v>
      </c>
      <c r="C177" s="3">
        <v>1004</v>
      </c>
      <c r="D177" s="3">
        <v>1936.498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1</v>
      </c>
      <c r="L177" s="3">
        <v>1004</v>
      </c>
      <c r="M177" s="3">
        <v>1936.498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</row>
    <row r="178" spans="1:19" s="3" customFormat="1" x14ac:dyDescent="0.3">
      <c r="A178" s="3" t="s">
        <v>148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</row>
    <row r="179" spans="1:19" s="3" customFormat="1" x14ac:dyDescent="0.3">
      <c r="A179" s="3" t="s">
        <v>142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</row>
    <row r="180" spans="1:19" s="3" customFormat="1" x14ac:dyDescent="0.3">
      <c r="A180" s="3" t="s">
        <v>143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</row>
    <row r="181" spans="1:19" s="3" customFormat="1" x14ac:dyDescent="0.3">
      <c r="A181" s="16" t="s">
        <v>151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</row>
    <row r="182" spans="1:19" s="3" customFormat="1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s="3" customFormat="1" x14ac:dyDescent="0.3">
      <c r="A183" s="12" t="s">
        <v>145</v>
      </c>
    </row>
    <row r="184" spans="1:19" s="3" customFormat="1" ht="15.6" x14ac:dyDescent="0.3">
      <c r="A184" s="21" t="s">
        <v>154</v>
      </c>
    </row>
    <row r="185" spans="1:19" s="3" customFormat="1" x14ac:dyDescent="0.3">
      <c r="A185" s="10" t="s">
        <v>116</v>
      </c>
    </row>
    <row r="186" spans="1:19" s="3" customFormat="1" x14ac:dyDescent="0.3">
      <c r="A186" s="10" t="s">
        <v>146</v>
      </c>
    </row>
    <row r="187" spans="1:19" s="3" customFormat="1" x14ac:dyDescent="0.3"/>
    <row r="188" spans="1:19" s="3" customFormat="1" x14ac:dyDescent="0.3"/>
    <row r="189" spans="1:19" s="3" customFormat="1" x14ac:dyDescent="0.3"/>
    <row r="190" spans="1:19" s="3" customFormat="1" x14ac:dyDescent="0.3"/>
    <row r="191" spans="1:19" s="3" customFormat="1" x14ac:dyDescent="0.3"/>
    <row r="192" spans="1:19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="3" customFormat="1" x14ac:dyDescent="0.3"/>
    <row r="1058" s="3" customFormat="1" x14ac:dyDescent="0.3"/>
    <row r="1059" s="3" customFormat="1" x14ac:dyDescent="0.3"/>
    <row r="1060" s="3" customFormat="1" x14ac:dyDescent="0.3"/>
    <row r="1061" s="3" customFormat="1" x14ac:dyDescent="0.3"/>
    <row r="1062" s="3" customFormat="1" x14ac:dyDescent="0.3"/>
    <row r="1063" s="3" customFormat="1" x14ac:dyDescent="0.3"/>
    <row r="1064" s="3" customFormat="1" x14ac:dyDescent="0.3"/>
    <row r="1065" s="3" customFormat="1" x14ac:dyDescent="0.3"/>
    <row r="1066" s="3" customFormat="1" x14ac:dyDescent="0.3"/>
    <row r="1067" s="3" customFormat="1" x14ac:dyDescent="0.3"/>
    <row r="1068" s="3" customFormat="1" x14ac:dyDescent="0.3"/>
    <row r="1069" s="3" customFormat="1" x14ac:dyDescent="0.3"/>
    <row r="1070" s="3" customFormat="1" x14ac:dyDescent="0.3"/>
    <row r="1071" s="3" customFormat="1" x14ac:dyDescent="0.3"/>
    <row r="1072" s="3" customFormat="1" x14ac:dyDescent="0.3"/>
    <row r="1073" s="3" customFormat="1" x14ac:dyDescent="0.3"/>
    <row r="1074" s="3" customFormat="1" x14ac:dyDescent="0.3"/>
    <row r="1075" s="3" customFormat="1" x14ac:dyDescent="0.3"/>
    <row r="1076" s="3" customFormat="1" x14ac:dyDescent="0.3"/>
    <row r="1077" s="3" customFormat="1" x14ac:dyDescent="0.3"/>
    <row r="1078" s="3" customFormat="1" x14ac:dyDescent="0.3"/>
    <row r="1079" s="3" customFormat="1" x14ac:dyDescent="0.3"/>
    <row r="1080" s="3" customFormat="1" x14ac:dyDescent="0.3"/>
    <row r="1081" s="3" customFormat="1" x14ac:dyDescent="0.3"/>
    <row r="1082" s="3" customFormat="1" x14ac:dyDescent="0.3"/>
    <row r="1083" s="3" customFormat="1" x14ac:dyDescent="0.3"/>
    <row r="1084" s="3" customFormat="1" x14ac:dyDescent="0.3"/>
    <row r="1085" s="3" customFormat="1" x14ac:dyDescent="0.3"/>
    <row r="1086" s="3" customFormat="1" x14ac:dyDescent="0.3"/>
    <row r="1087" s="3" customFormat="1" x14ac:dyDescent="0.3"/>
    <row r="1088" s="3" customFormat="1" x14ac:dyDescent="0.3"/>
    <row r="1089" s="3" customFormat="1" x14ac:dyDescent="0.3"/>
    <row r="1090" s="3" customFormat="1" x14ac:dyDescent="0.3"/>
    <row r="1091" s="3" customFormat="1" x14ac:dyDescent="0.3"/>
    <row r="1092" s="3" customFormat="1" x14ac:dyDescent="0.3"/>
    <row r="1093" s="3" customFormat="1" x14ac:dyDescent="0.3"/>
    <row r="1094" s="3" customFormat="1" x14ac:dyDescent="0.3"/>
    <row r="1095" s="3" customFormat="1" x14ac:dyDescent="0.3"/>
    <row r="1096" s="3" customFormat="1" x14ac:dyDescent="0.3"/>
    <row r="1097" s="3" customFormat="1" x14ac:dyDescent="0.3"/>
    <row r="1098" s="3" customFormat="1" x14ac:dyDescent="0.3"/>
    <row r="1099" s="3" customFormat="1" x14ac:dyDescent="0.3"/>
    <row r="1100" s="3" customFormat="1" x14ac:dyDescent="0.3"/>
    <row r="1101" s="3" customFormat="1" x14ac:dyDescent="0.3"/>
    <row r="1102" s="3" customFormat="1" x14ac:dyDescent="0.3"/>
    <row r="1103" s="3" customFormat="1" x14ac:dyDescent="0.3"/>
    <row r="1104" s="3" customFormat="1" x14ac:dyDescent="0.3"/>
    <row r="1105" s="3" customFormat="1" x14ac:dyDescent="0.3"/>
    <row r="1106" s="3" customFormat="1" x14ac:dyDescent="0.3"/>
    <row r="1107" s="3" customFormat="1" x14ac:dyDescent="0.3"/>
    <row r="1108" s="3" customFormat="1" x14ac:dyDescent="0.3"/>
    <row r="1109" s="3" customFormat="1" x14ac:dyDescent="0.3"/>
    <row r="1110" s="3" customFormat="1" x14ac:dyDescent="0.3"/>
    <row r="1111" s="3" customFormat="1" x14ac:dyDescent="0.3"/>
    <row r="1112" s="3" customFormat="1" x14ac:dyDescent="0.3"/>
    <row r="1113" s="3" customFormat="1" x14ac:dyDescent="0.3"/>
    <row r="1114" s="3" customFormat="1" x14ac:dyDescent="0.3"/>
    <row r="1115" s="3" customFormat="1" x14ac:dyDescent="0.3"/>
    <row r="1116" s="3" customFormat="1" x14ac:dyDescent="0.3"/>
    <row r="1117" s="3" customFormat="1" x14ac:dyDescent="0.3"/>
    <row r="1118" s="3" customFormat="1" x14ac:dyDescent="0.3"/>
    <row r="1119" s="3" customFormat="1" x14ac:dyDescent="0.3"/>
    <row r="1120" s="3" customFormat="1" x14ac:dyDescent="0.3"/>
    <row r="1121" s="3" customFormat="1" x14ac:dyDescent="0.3"/>
    <row r="1122" s="3" customFormat="1" x14ac:dyDescent="0.3"/>
    <row r="1123" s="3" customFormat="1" x14ac:dyDescent="0.3"/>
    <row r="1124" s="3" customFormat="1" x14ac:dyDescent="0.3"/>
    <row r="1125" s="3" customFormat="1" x14ac:dyDescent="0.3"/>
    <row r="1126" s="3" customFormat="1" x14ac:dyDescent="0.3"/>
    <row r="1127" s="3" customFormat="1" x14ac:dyDescent="0.3"/>
    <row r="1128" s="3" customFormat="1" x14ac:dyDescent="0.3"/>
    <row r="1129" s="3" customFormat="1" x14ac:dyDescent="0.3"/>
    <row r="1130" s="3" customFormat="1" x14ac:dyDescent="0.3"/>
    <row r="1131" s="3" customFormat="1" x14ac:dyDescent="0.3"/>
    <row r="1132" s="3" customFormat="1" x14ac:dyDescent="0.3"/>
    <row r="1133" s="3" customFormat="1" x14ac:dyDescent="0.3"/>
    <row r="1134" s="3" customFormat="1" x14ac:dyDescent="0.3"/>
    <row r="1135" s="3" customFormat="1" x14ac:dyDescent="0.3"/>
    <row r="1136" s="3" customFormat="1" x14ac:dyDescent="0.3"/>
    <row r="1137" s="3" customFormat="1" x14ac:dyDescent="0.3"/>
    <row r="1138" s="3" customFormat="1" x14ac:dyDescent="0.3"/>
    <row r="1139" s="3" customFormat="1" x14ac:dyDescent="0.3"/>
    <row r="1140" s="3" customFormat="1" x14ac:dyDescent="0.3"/>
    <row r="1141" s="3" customFormat="1" x14ac:dyDescent="0.3"/>
    <row r="1142" s="3" customFormat="1" x14ac:dyDescent="0.3"/>
    <row r="1143" s="3" customFormat="1" x14ac:dyDescent="0.3"/>
    <row r="1144" s="3" customFormat="1" x14ac:dyDescent="0.3"/>
    <row r="1145" s="3" customFormat="1" x14ac:dyDescent="0.3"/>
    <row r="1146" s="3" customFormat="1" x14ac:dyDescent="0.3"/>
    <row r="1147" s="3" customFormat="1" x14ac:dyDescent="0.3"/>
    <row r="1148" s="3" customFormat="1" x14ac:dyDescent="0.3"/>
    <row r="1149" s="3" customFormat="1" x14ac:dyDescent="0.3"/>
    <row r="1150" s="3" customFormat="1" x14ac:dyDescent="0.3"/>
    <row r="1151" s="3" customFormat="1" x14ac:dyDescent="0.3"/>
    <row r="1152" s="3" customFormat="1" x14ac:dyDescent="0.3"/>
    <row r="1153" s="3" customFormat="1" x14ac:dyDescent="0.3"/>
    <row r="1154" s="3" customFormat="1" x14ac:dyDescent="0.3"/>
    <row r="1155" s="3" customFormat="1" x14ac:dyDescent="0.3"/>
    <row r="1156" s="3" customFormat="1" x14ac:dyDescent="0.3"/>
    <row r="1157" s="3" customFormat="1" x14ac:dyDescent="0.3"/>
    <row r="1158" s="3" customFormat="1" x14ac:dyDescent="0.3"/>
    <row r="1159" s="3" customFormat="1" x14ac:dyDescent="0.3"/>
    <row r="1160" s="3" customFormat="1" x14ac:dyDescent="0.3"/>
    <row r="1161" s="3" customFormat="1" x14ac:dyDescent="0.3"/>
    <row r="1162" s="3" customFormat="1" x14ac:dyDescent="0.3"/>
    <row r="1163" s="3" customFormat="1" x14ac:dyDescent="0.3"/>
    <row r="1164" s="3" customFormat="1" x14ac:dyDescent="0.3"/>
    <row r="1165" s="3" customFormat="1" x14ac:dyDescent="0.3"/>
    <row r="1166" s="3" customFormat="1" x14ac:dyDescent="0.3"/>
    <row r="1167" s="3" customFormat="1" x14ac:dyDescent="0.3"/>
    <row r="1168" s="3" customFormat="1" x14ac:dyDescent="0.3"/>
    <row r="1169" s="3" customFormat="1" x14ac:dyDescent="0.3"/>
    <row r="1170" s="3" customFormat="1" x14ac:dyDescent="0.3"/>
    <row r="1171" s="3" customFormat="1" x14ac:dyDescent="0.3"/>
    <row r="1172" s="3" customFormat="1" x14ac:dyDescent="0.3"/>
    <row r="1173" s="3" customFormat="1" x14ac:dyDescent="0.3"/>
    <row r="1174" s="3" customFormat="1" x14ac:dyDescent="0.3"/>
    <row r="1175" s="3" customFormat="1" x14ac:dyDescent="0.3"/>
    <row r="1176" s="3" customFormat="1" x14ac:dyDescent="0.3"/>
    <row r="1177" s="3" customFormat="1" x14ac:dyDescent="0.3"/>
    <row r="1178" s="3" customFormat="1" x14ac:dyDescent="0.3"/>
    <row r="1179" s="3" customFormat="1" x14ac:dyDescent="0.3"/>
    <row r="1180" s="3" customFormat="1" x14ac:dyDescent="0.3"/>
    <row r="1181" s="3" customFormat="1" x14ac:dyDescent="0.3"/>
    <row r="1182" s="3" customFormat="1" x14ac:dyDescent="0.3"/>
    <row r="1183" s="3" customFormat="1" x14ac:dyDescent="0.3"/>
    <row r="1184" s="3" customFormat="1" x14ac:dyDescent="0.3"/>
    <row r="1185" s="3" customFormat="1" x14ac:dyDescent="0.3"/>
    <row r="1186" s="3" customFormat="1" x14ac:dyDescent="0.3"/>
    <row r="1187" s="3" customFormat="1" x14ac:dyDescent="0.3"/>
    <row r="1188" s="3" customFormat="1" x14ac:dyDescent="0.3"/>
    <row r="1189" s="3" customFormat="1" x14ac:dyDescent="0.3"/>
    <row r="1190" s="3" customFormat="1" x14ac:dyDescent="0.3"/>
    <row r="1191" s="3" customFormat="1" x14ac:dyDescent="0.3"/>
    <row r="1192" s="3" customFormat="1" x14ac:dyDescent="0.3"/>
    <row r="1193" s="3" customFormat="1" x14ac:dyDescent="0.3"/>
    <row r="1194" s="3" customFormat="1" x14ac:dyDescent="0.3"/>
    <row r="1195" s="3" customFormat="1" x14ac:dyDescent="0.3"/>
    <row r="1196" s="3" customFormat="1" x14ac:dyDescent="0.3"/>
    <row r="1197" s="3" customFormat="1" x14ac:dyDescent="0.3"/>
    <row r="1198" s="3" customFormat="1" x14ac:dyDescent="0.3"/>
    <row r="1199" s="3" customFormat="1" x14ac:dyDescent="0.3"/>
    <row r="1200" s="3" customFormat="1" x14ac:dyDescent="0.3"/>
    <row r="1201" s="3" customFormat="1" x14ac:dyDescent="0.3"/>
    <row r="1202" s="3" customFormat="1" x14ac:dyDescent="0.3"/>
    <row r="1203" s="3" customFormat="1" x14ac:dyDescent="0.3"/>
    <row r="1204" s="3" customFormat="1" x14ac:dyDescent="0.3"/>
    <row r="1205" s="3" customFormat="1" x14ac:dyDescent="0.3"/>
    <row r="1206" s="3" customFormat="1" x14ac:dyDescent="0.3"/>
    <row r="1207" s="3" customFormat="1" x14ac:dyDescent="0.3"/>
    <row r="1208" s="3" customFormat="1" x14ac:dyDescent="0.3"/>
    <row r="1209" s="3" customFormat="1" x14ac:dyDescent="0.3"/>
    <row r="1210" s="3" customFormat="1" x14ac:dyDescent="0.3"/>
    <row r="1211" s="3" customFormat="1" x14ac:dyDescent="0.3"/>
    <row r="1212" s="3" customFormat="1" x14ac:dyDescent="0.3"/>
    <row r="1213" s="3" customFormat="1" x14ac:dyDescent="0.3"/>
    <row r="1214" s="3" customFormat="1" x14ac:dyDescent="0.3"/>
    <row r="1215" s="3" customFormat="1" x14ac:dyDescent="0.3"/>
    <row r="1216" s="3" customFormat="1" x14ac:dyDescent="0.3"/>
    <row r="1217" s="3" customFormat="1" x14ac:dyDescent="0.3"/>
    <row r="1218" s="3" customFormat="1" x14ac:dyDescent="0.3"/>
    <row r="1219" s="3" customFormat="1" x14ac:dyDescent="0.3"/>
    <row r="1220" s="3" customFormat="1" x14ac:dyDescent="0.3"/>
    <row r="1221" s="3" customFormat="1" x14ac:dyDescent="0.3"/>
    <row r="1222" s="3" customFormat="1" x14ac:dyDescent="0.3"/>
    <row r="1223" s="3" customFormat="1" x14ac:dyDescent="0.3"/>
    <row r="1224" s="3" customFormat="1" x14ac:dyDescent="0.3"/>
    <row r="1225" s="3" customFormat="1" x14ac:dyDescent="0.3"/>
    <row r="1226" s="3" customFormat="1" x14ac:dyDescent="0.3"/>
    <row r="1227" s="3" customFormat="1" x14ac:dyDescent="0.3"/>
    <row r="1228" s="3" customFormat="1" x14ac:dyDescent="0.3"/>
    <row r="1229" s="3" customFormat="1" x14ac:dyDescent="0.3"/>
    <row r="1230" s="3" customFormat="1" x14ac:dyDescent="0.3"/>
    <row r="1231" s="3" customFormat="1" x14ac:dyDescent="0.3"/>
    <row r="1232" s="3" customFormat="1" x14ac:dyDescent="0.3"/>
    <row r="1233" s="3" customFormat="1" x14ac:dyDescent="0.3"/>
    <row r="1234" s="3" customFormat="1" x14ac:dyDescent="0.3"/>
    <row r="1235" s="3" customFormat="1" x14ac:dyDescent="0.3"/>
    <row r="1236" s="3" customFormat="1" x14ac:dyDescent="0.3"/>
    <row r="1237" s="3" customFormat="1" x14ac:dyDescent="0.3"/>
    <row r="1238" s="3" customFormat="1" x14ac:dyDescent="0.3"/>
    <row r="1239" s="3" customFormat="1" x14ac:dyDescent="0.3"/>
    <row r="1240" s="3" customFormat="1" x14ac:dyDescent="0.3"/>
    <row r="1241" s="3" customFormat="1" x14ac:dyDescent="0.3"/>
    <row r="1242" s="3" customFormat="1" x14ac:dyDescent="0.3"/>
    <row r="1243" s="3" customFormat="1" x14ac:dyDescent="0.3"/>
    <row r="1244" s="3" customFormat="1" x14ac:dyDescent="0.3"/>
    <row r="1245" s="3" customFormat="1" x14ac:dyDescent="0.3"/>
    <row r="1246" s="3" customFormat="1" x14ac:dyDescent="0.3"/>
    <row r="1247" s="3" customFormat="1" x14ac:dyDescent="0.3"/>
    <row r="1248" s="3" customFormat="1" x14ac:dyDescent="0.3"/>
    <row r="1249" s="3" customFormat="1" x14ac:dyDescent="0.3"/>
    <row r="1250" s="3" customFormat="1" x14ac:dyDescent="0.3"/>
    <row r="1251" s="3" customFormat="1" x14ac:dyDescent="0.3"/>
    <row r="1252" s="3" customFormat="1" x14ac:dyDescent="0.3"/>
    <row r="1253" s="3" customFormat="1" x14ac:dyDescent="0.3"/>
    <row r="1254" s="3" customFormat="1" x14ac:dyDescent="0.3"/>
    <row r="1255" s="3" customFormat="1" x14ac:dyDescent="0.3"/>
    <row r="1256" s="3" customFormat="1" x14ac:dyDescent="0.3"/>
    <row r="1257" s="3" customFormat="1" x14ac:dyDescent="0.3"/>
    <row r="1258" s="3" customFormat="1" x14ac:dyDescent="0.3"/>
    <row r="1259" s="3" customFormat="1" x14ac:dyDescent="0.3"/>
    <row r="1260" s="3" customFormat="1" x14ac:dyDescent="0.3"/>
    <row r="1261" s="3" customFormat="1" x14ac:dyDescent="0.3"/>
    <row r="1262" s="3" customFormat="1" x14ac:dyDescent="0.3"/>
    <row r="1263" s="3" customFormat="1" x14ac:dyDescent="0.3"/>
    <row r="1264" s="3" customFormat="1" x14ac:dyDescent="0.3"/>
    <row r="1265" s="3" customFormat="1" x14ac:dyDescent="0.3"/>
    <row r="1266" s="3" customFormat="1" x14ac:dyDescent="0.3"/>
    <row r="1267" s="3" customFormat="1" x14ac:dyDescent="0.3"/>
    <row r="1268" s="3" customFormat="1" x14ac:dyDescent="0.3"/>
    <row r="1269" s="3" customFormat="1" x14ac:dyDescent="0.3"/>
    <row r="1270" s="3" customFormat="1" x14ac:dyDescent="0.3"/>
    <row r="1271" s="3" customFormat="1" x14ac:dyDescent="0.3"/>
    <row r="1272" s="3" customFormat="1" x14ac:dyDescent="0.3"/>
    <row r="1273" s="3" customFormat="1" x14ac:dyDescent="0.3"/>
    <row r="1274" s="3" customFormat="1" x14ac:dyDescent="0.3"/>
    <row r="1275" s="3" customFormat="1" x14ac:dyDescent="0.3"/>
    <row r="1276" s="3" customFormat="1" x14ac:dyDescent="0.3"/>
    <row r="1277" s="3" customFormat="1" x14ac:dyDescent="0.3"/>
    <row r="1278" s="3" customFormat="1" x14ac:dyDescent="0.3"/>
    <row r="1279" s="3" customFormat="1" x14ac:dyDescent="0.3"/>
    <row r="1280" s="3" customFormat="1" x14ac:dyDescent="0.3"/>
    <row r="1281" s="3" customFormat="1" x14ac:dyDescent="0.3"/>
    <row r="1282" s="3" customFormat="1" x14ac:dyDescent="0.3"/>
    <row r="1283" s="3" customFormat="1" x14ac:dyDescent="0.3"/>
    <row r="1284" s="3" customFormat="1" x14ac:dyDescent="0.3"/>
    <row r="1285" s="3" customFormat="1" x14ac:dyDescent="0.3"/>
    <row r="1286" s="3" customFormat="1" x14ac:dyDescent="0.3"/>
    <row r="1287" s="3" customFormat="1" x14ac:dyDescent="0.3"/>
    <row r="1288" s="3" customFormat="1" x14ac:dyDescent="0.3"/>
    <row r="1289" s="3" customFormat="1" x14ac:dyDescent="0.3"/>
    <row r="1290" s="3" customFormat="1" x14ac:dyDescent="0.3"/>
    <row r="1291" s="3" customFormat="1" x14ac:dyDescent="0.3"/>
    <row r="1292" s="3" customFormat="1" x14ac:dyDescent="0.3"/>
    <row r="1293" s="3" customFormat="1" x14ac:dyDescent="0.3"/>
    <row r="1294" s="3" customFormat="1" x14ac:dyDescent="0.3"/>
    <row r="1295" s="3" customFormat="1" x14ac:dyDescent="0.3"/>
    <row r="1296" s="3" customFormat="1" x14ac:dyDescent="0.3"/>
    <row r="1297" s="3" customFormat="1" x14ac:dyDescent="0.3"/>
    <row r="1298" s="3" customFormat="1" x14ac:dyDescent="0.3"/>
    <row r="1299" s="3" customFormat="1" x14ac:dyDescent="0.3"/>
    <row r="1300" s="3" customFormat="1" x14ac:dyDescent="0.3"/>
    <row r="1301" s="3" customFormat="1" x14ac:dyDescent="0.3"/>
    <row r="1302" s="3" customFormat="1" x14ac:dyDescent="0.3"/>
    <row r="1303" s="3" customFormat="1" x14ac:dyDescent="0.3"/>
    <row r="1304" s="3" customFormat="1" x14ac:dyDescent="0.3"/>
    <row r="1305" s="3" customFormat="1" x14ac:dyDescent="0.3"/>
    <row r="1306" s="3" customFormat="1" x14ac:dyDescent="0.3"/>
    <row r="1307" s="3" customFormat="1" x14ac:dyDescent="0.3"/>
    <row r="1308" s="3" customFormat="1" x14ac:dyDescent="0.3"/>
    <row r="1309" s="3" customFormat="1" x14ac:dyDescent="0.3"/>
    <row r="1310" s="3" customFormat="1" x14ac:dyDescent="0.3"/>
    <row r="1311" s="3" customFormat="1" x14ac:dyDescent="0.3"/>
    <row r="1312" s="3" customFormat="1" x14ac:dyDescent="0.3"/>
    <row r="1313" s="3" customFormat="1" x14ac:dyDescent="0.3"/>
    <row r="1314" s="3" customFormat="1" x14ac:dyDescent="0.3"/>
    <row r="1315" s="3" customFormat="1" x14ac:dyDescent="0.3"/>
    <row r="1316" s="3" customFormat="1" x14ac:dyDescent="0.3"/>
    <row r="1317" s="3" customFormat="1" x14ac:dyDescent="0.3"/>
    <row r="1318" s="3" customFormat="1" x14ac:dyDescent="0.3"/>
    <row r="1319" s="3" customFormat="1" x14ac:dyDescent="0.3"/>
    <row r="1320" s="3" customFormat="1" x14ac:dyDescent="0.3"/>
    <row r="1321" s="3" customFormat="1" x14ac:dyDescent="0.3"/>
    <row r="1322" s="3" customFormat="1" x14ac:dyDescent="0.3"/>
    <row r="1323" s="3" customFormat="1" x14ac:dyDescent="0.3"/>
    <row r="1324" s="3" customFormat="1" x14ac:dyDescent="0.3"/>
    <row r="1325" s="3" customFormat="1" x14ac:dyDescent="0.3"/>
    <row r="1326" s="3" customFormat="1" x14ac:dyDescent="0.3"/>
    <row r="1327" s="3" customFormat="1" x14ac:dyDescent="0.3"/>
    <row r="1328" s="3" customFormat="1" x14ac:dyDescent="0.3"/>
    <row r="1329" s="3" customFormat="1" x14ac:dyDescent="0.3"/>
    <row r="1330" s="3" customFormat="1" x14ac:dyDescent="0.3"/>
    <row r="1331" s="3" customFormat="1" x14ac:dyDescent="0.3"/>
    <row r="1332" s="3" customFormat="1" x14ac:dyDescent="0.3"/>
    <row r="1333" s="3" customFormat="1" x14ac:dyDescent="0.3"/>
    <row r="1334" s="3" customFormat="1" x14ac:dyDescent="0.3"/>
    <row r="1335" s="3" customFormat="1" x14ac:dyDescent="0.3"/>
    <row r="1336" s="3" customFormat="1" x14ac:dyDescent="0.3"/>
    <row r="1337" s="3" customFormat="1" x14ac:dyDescent="0.3"/>
    <row r="1338" s="3" customFormat="1" x14ac:dyDescent="0.3"/>
    <row r="1339" s="3" customFormat="1" x14ac:dyDescent="0.3"/>
    <row r="1340" s="3" customFormat="1" x14ac:dyDescent="0.3"/>
    <row r="1341" s="3" customFormat="1" x14ac:dyDescent="0.3"/>
    <row r="1342" s="3" customFormat="1" x14ac:dyDescent="0.3"/>
    <row r="1343" s="3" customFormat="1" x14ac:dyDescent="0.3"/>
    <row r="1344" s="3" customFormat="1" x14ac:dyDescent="0.3"/>
    <row r="1345" s="3" customFormat="1" x14ac:dyDescent="0.3"/>
    <row r="1346" s="3" customFormat="1" x14ac:dyDescent="0.3"/>
    <row r="1347" s="3" customFormat="1" x14ac:dyDescent="0.3"/>
    <row r="1348" s="3" customFormat="1" x14ac:dyDescent="0.3"/>
    <row r="1349" s="3" customFormat="1" x14ac:dyDescent="0.3"/>
    <row r="1350" s="3" customFormat="1" x14ac:dyDescent="0.3"/>
    <row r="1351" s="3" customFormat="1" x14ac:dyDescent="0.3"/>
    <row r="1352" s="3" customFormat="1" x14ac:dyDescent="0.3"/>
    <row r="1353" s="3" customFormat="1" x14ac:dyDescent="0.3"/>
    <row r="1354" s="3" customFormat="1" x14ac:dyDescent="0.3"/>
    <row r="1355" s="3" customFormat="1" x14ac:dyDescent="0.3"/>
    <row r="1356" s="3" customFormat="1" x14ac:dyDescent="0.3"/>
    <row r="1357" s="3" customFormat="1" x14ac:dyDescent="0.3"/>
    <row r="1358" s="3" customFormat="1" x14ac:dyDescent="0.3"/>
    <row r="1359" s="3" customFormat="1" x14ac:dyDescent="0.3"/>
    <row r="1360" s="3" customFormat="1" x14ac:dyDescent="0.3"/>
    <row r="1361" s="3" customFormat="1" x14ac:dyDescent="0.3"/>
    <row r="1362" s="3" customFormat="1" x14ac:dyDescent="0.3"/>
    <row r="1363" s="3" customFormat="1" x14ac:dyDescent="0.3"/>
    <row r="1364" s="3" customFormat="1" x14ac:dyDescent="0.3"/>
    <row r="1365" s="3" customFormat="1" x14ac:dyDescent="0.3"/>
    <row r="1366" s="3" customFormat="1" x14ac:dyDescent="0.3"/>
    <row r="1367" s="3" customFormat="1" x14ac:dyDescent="0.3"/>
    <row r="1368" s="3" customFormat="1" x14ac:dyDescent="0.3"/>
    <row r="1369" s="3" customFormat="1" x14ac:dyDescent="0.3"/>
    <row r="1370" s="3" customFormat="1" x14ac:dyDescent="0.3"/>
    <row r="1371" s="3" customFormat="1" x14ac:dyDescent="0.3"/>
    <row r="1372" s="3" customFormat="1" x14ac:dyDescent="0.3"/>
    <row r="1373" s="3" customFormat="1" x14ac:dyDescent="0.3"/>
    <row r="1374" s="3" customFormat="1" x14ac:dyDescent="0.3"/>
    <row r="1375" s="3" customFormat="1" x14ac:dyDescent="0.3"/>
    <row r="1376" s="3" customFormat="1" x14ac:dyDescent="0.3"/>
    <row r="1377" s="3" customFormat="1" x14ac:dyDescent="0.3"/>
    <row r="1378" s="3" customFormat="1" x14ac:dyDescent="0.3"/>
    <row r="1379" s="3" customFormat="1" x14ac:dyDescent="0.3"/>
    <row r="1380" s="3" customFormat="1" x14ac:dyDescent="0.3"/>
    <row r="1381" s="3" customFormat="1" x14ac:dyDescent="0.3"/>
    <row r="1382" s="3" customFormat="1" x14ac:dyDescent="0.3"/>
    <row r="1383" s="3" customFormat="1" x14ac:dyDescent="0.3"/>
    <row r="1384" s="3" customFormat="1" x14ac:dyDescent="0.3"/>
    <row r="1385" s="3" customFormat="1" x14ac:dyDescent="0.3"/>
    <row r="1386" s="3" customFormat="1" x14ac:dyDescent="0.3"/>
    <row r="1387" s="3" customFormat="1" x14ac:dyDescent="0.3"/>
    <row r="1388" s="3" customFormat="1" x14ac:dyDescent="0.3"/>
    <row r="1389" s="3" customFormat="1" x14ac:dyDescent="0.3"/>
    <row r="1390" s="3" customFormat="1" x14ac:dyDescent="0.3"/>
    <row r="1391" s="3" customFormat="1" x14ac:dyDescent="0.3"/>
    <row r="1392" s="3" customFormat="1" x14ac:dyDescent="0.3"/>
    <row r="1393" s="3" customFormat="1" x14ac:dyDescent="0.3"/>
    <row r="1394" s="3" customFormat="1" x14ac:dyDescent="0.3"/>
    <row r="1395" s="3" customFormat="1" x14ac:dyDescent="0.3"/>
    <row r="1396" s="3" customFormat="1" x14ac:dyDescent="0.3"/>
    <row r="1397" s="3" customFormat="1" x14ac:dyDescent="0.3"/>
    <row r="1398" s="3" customFormat="1" x14ac:dyDescent="0.3"/>
    <row r="1399" s="3" customFormat="1" x14ac:dyDescent="0.3"/>
    <row r="1400" s="3" customFormat="1" x14ac:dyDescent="0.3"/>
    <row r="1401" s="3" customFormat="1" x14ac:dyDescent="0.3"/>
    <row r="1402" s="3" customFormat="1" x14ac:dyDescent="0.3"/>
    <row r="1403" s="3" customFormat="1" x14ac:dyDescent="0.3"/>
    <row r="1404" s="3" customFormat="1" x14ac:dyDescent="0.3"/>
    <row r="1405" s="3" customFormat="1" x14ac:dyDescent="0.3"/>
    <row r="1406" s="3" customFormat="1" x14ac:dyDescent="0.3"/>
    <row r="1407" s="3" customFormat="1" x14ac:dyDescent="0.3"/>
    <row r="1408" s="3" customFormat="1" x14ac:dyDescent="0.3"/>
    <row r="1409" s="3" customFormat="1" x14ac:dyDescent="0.3"/>
    <row r="1410" s="3" customFormat="1" x14ac:dyDescent="0.3"/>
    <row r="1411" s="3" customFormat="1" x14ac:dyDescent="0.3"/>
    <row r="1412" s="3" customFormat="1" x14ac:dyDescent="0.3"/>
    <row r="1413" s="3" customFormat="1" x14ac:dyDescent="0.3"/>
    <row r="1414" s="3" customFormat="1" x14ac:dyDescent="0.3"/>
    <row r="1415" s="3" customFormat="1" x14ac:dyDescent="0.3"/>
    <row r="1416" s="3" customFormat="1" x14ac:dyDescent="0.3"/>
    <row r="1417" s="3" customFormat="1" x14ac:dyDescent="0.3"/>
    <row r="1418" s="3" customFormat="1" x14ac:dyDescent="0.3"/>
    <row r="1419" s="3" customFormat="1" x14ac:dyDescent="0.3"/>
    <row r="1420" s="3" customFormat="1" x14ac:dyDescent="0.3"/>
    <row r="1421" s="3" customFormat="1" x14ac:dyDescent="0.3"/>
    <row r="1422" s="3" customFormat="1" x14ac:dyDescent="0.3"/>
    <row r="1423" s="3" customFormat="1" x14ac:dyDescent="0.3"/>
    <row r="1424" s="3" customFormat="1" x14ac:dyDescent="0.3"/>
    <row r="1425" s="3" customFormat="1" x14ac:dyDescent="0.3"/>
    <row r="1426" s="3" customFormat="1" x14ac:dyDescent="0.3"/>
    <row r="1427" s="3" customFormat="1" x14ac:dyDescent="0.3"/>
    <row r="1428" s="3" customFormat="1" x14ac:dyDescent="0.3"/>
    <row r="1429" s="3" customFormat="1" x14ac:dyDescent="0.3"/>
    <row r="1430" s="3" customFormat="1" x14ac:dyDescent="0.3"/>
    <row r="1431" s="3" customFormat="1" x14ac:dyDescent="0.3"/>
    <row r="1432" s="3" customFormat="1" x14ac:dyDescent="0.3"/>
    <row r="1433" s="3" customFormat="1" x14ac:dyDescent="0.3"/>
    <row r="1434" s="3" customFormat="1" x14ac:dyDescent="0.3"/>
    <row r="1435" s="3" customFormat="1" x14ac:dyDescent="0.3"/>
    <row r="1436" s="3" customFormat="1" x14ac:dyDescent="0.3"/>
    <row r="1437" s="3" customFormat="1" x14ac:dyDescent="0.3"/>
    <row r="1438" s="3" customFormat="1" x14ac:dyDescent="0.3"/>
    <row r="1439" s="3" customFormat="1" x14ac:dyDescent="0.3"/>
    <row r="1440" s="3" customFormat="1" x14ac:dyDescent="0.3"/>
    <row r="1441" s="3" customFormat="1" x14ac:dyDescent="0.3"/>
    <row r="1442" s="3" customFormat="1" x14ac:dyDescent="0.3"/>
    <row r="1443" s="3" customFormat="1" x14ac:dyDescent="0.3"/>
    <row r="1444" s="3" customFormat="1" x14ac:dyDescent="0.3"/>
    <row r="1445" s="3" customFormat="1" x14ac:dyDescent="0.3"/>
    <row r="1446" s="3" customFormat="1" x14ac:dyDescent="0.3"/>
    <row r="1447" s="3" customFormat="1" x14ac:dyDescent="0.3"/>
    <row r="1448" s="3" customFormat="1" x14ac:dyDescent="0.3"/>
    <row r="1449" s="3" customFormat="1" x14ac:dyDescent="0.3"/>
    <row r="1450" s="3" customFormat="1" x14ac:dyDescent="0.3"/>
    <row r="1451" s="3" customFormat="1" x14ac:dyDescent="0.3"/>
    <row r="1452" s="3" customFormat="1" x14ac:dyDescent="0.3"/>
    <row r="1453" s="3" customFormat="1" x14ac:dyDescent="0.3"/>
    <row r="1454" s="3" customFormat="1" x14ac:dyDescent="0.3"/>
    <row r="1455" s="3" customFormat="1" x14ac:dyDescent="0.3"/>
    <row r="1456" s="3" customFormat="1" x14ac:dyDescent="0.3"/>
    <row r="1457" s="3" customFormat="1" x14ac:dyDescent="0.3"/>
    <row r="1458" s="3" customFormat="1" x14ac:dyDescent="0.3"/>
    <row r="1459" s="3" customFormat="1" x14ac:dyDescent="0.3"/>
    <row r="1460" s="3" customFormat="1" x14ac:dyDescent="0.3"/>
    <row r="1461" s="3" customFormat="1" x14ac:dyDescent="0.3"/>
    <row r="1462" s="3" customFormat="1" x14ac:dyDescent="0.3"/>
    <row r="1463" s="3" customFormat="1" x14ac:dyDescent="0.3"/>
    <row r="1464" s="3" customFormat="1" x14ac:dyDescent="0.3"/>
    <row r="1465" s="3" customFormat="1" x14ac:dyDescent="0.3"/>
    <row r="1466" s="3" customFormat="1" x14ac:dyDescent="0.3"/>
    <row r="1467" s="3" customFormat="1" x14ac:dyDescent="0.3"/>
    <row r="1468" s="3" customFormat="1" x14ac:dyDescent="0.3"/>
    <row r="1469" s="3" customFormat="1" x14ac:dyDescent="0.3"/>
    <row r="1470" s="3" customFormat="1" x14ac:dyDescent="0.3"/>
    <row r="1471" s="3" customFormat="1" x14ac:dyDescent="0.3"/>
    <row r="1472" s="3" customFormat="1" x14ac:dyDescent="0.3"/>
    <row r="1473" s="3" customFormat="1" x14ac:dyDescent="0.3"/>
    <row r="1474" s="3" customFormat="1" x14ac:dyDescent="0.3"/>
    <row r="1475" s="3" customFormat="1" x14ac:dyDescent="0.3"/>
    <row r="1476" s="3" customFormat="1" x14ac:dyDescent="0.3"/>
    <row r="1477" s="3" customFormat="1" x14ac:dyDescent="0.3"/>
    <row r="1478" s="3" customFormat="1" x14ac:dyDescent="0.3"/>
    <row r="1479" s="3" customFormat="1" x14ac:dyDescent="0.3"/>
    <row r="1480" s="3" customFormat="1" x14ac:dyDescent="0.3"/>
    <row r="1481" s="3" customFormat="1" x14ac:dyDescent="0.3"/>
    <row r="1482" s="3" customFormat="1" x14ac:dyDescent="0.3"/>
    <row r="1483" s="3" customFormat="1" x14ac:dyDescent="0.3"/>
    <row r="1484" s="3" customFormat="1" x14ac:dyDescent="0.3"/>
    <row r="1485" s="3" customFormat="1" x14ac:dyDescent="0.3"/>
    <row r="1486" s="3" customFormat="1" x14ac:dyDescent="0.3"/>
    <row r="1487" s="3" customFormat="1" x14ac:dyDescent="0.3"/>
    <row r="1488" s="3" customFormat="1" x14ac:dyDescent="0.3"/>
    <row r="1489" s="3" customFormat="1" x14ac:dyDescent="0.3"/>
    <row r="1490" s="3" customFormat="1" x14ac:dyDescent="0.3"/>
    <row r="1491" s="3" customFormat="1" x14ac:dyDescent="0.3"/>
    <row r="1492" s="3" customFormat="1" x14ac:dyDescent="0.3"/>
    <row r="1493" s="3" customFormat="1" x14ac:dyDescent="0.3"/>
    <row r="1494" s="3" customFormat="1" x14ac:dyDescent="0.3"/>
    <row r="1495" s="3" customFormat="1" x14ac:dyDescent="0.3"/>
    <row r="1496" s="3" customFormat="1" x14ac:dyDescent="0.3"/>
    <row r="1497" s="3" customFormat="1" x14ac:dyDescent="0.3"/>
    <row r="1498" s="3" customFormat="1" x14ac:dyDescent="0.3"/>
    <row r="1499" s="3" customFormat="1" x14ac:dyDescent="0.3"/>
    <row r="1500" s="3" customFormat="1" x14ac:dyDescent="0.3"/>
    <row r="1501" s="3" customFormat="1" x14ac:dyDescent="0.3"/>
    <row r="1502" s="3" customFormat="1" x14ac:dyDescent="0.3"/>
    <row r="1503" s="3" customFormat="1" x14ac:dyDescent="0.3"/>
    <row r="1504" s="3" customFormat="1" x14ac:dyDescent="0.3"/>
    <row r="1505" s="3" customFormat="1" x14ac:dyDescent="0.3"/>
    <row r="1506" s="3" customFormat="1" x14ac:dyDescent="0.3"/>
    <row r="1507" s="3" customFormat="1" x14ac:dyDescent="0.3"/>
    <row r="1508" s="3" customFormat="1" x14ac:dyDescent="0.3"/>
    <row r="1509" s="3" customFormat="1" x14ac:dyDescent="0.3"/>
    <row r="1510" s="3" customFormat="1" x14ac:dyDescent="0.3"/>
    <row r="1511" s="3" customFormat="1" x14ac:dyDescent="0.3"/>
    <row r="1512" s="3" customFormat="1" x14ac:dyDescent="0.3"/>
    <row r="1513" s="3" customFormat="1" x14ac:dyDescent="0.3"/>
    <row r="1514" s="3" customFormat="1" x14ac:dyDescent="0.3"/>
    <row r="1515" s="3" customFormat="1" x14ac:dyDescent="0.3"/>
    <row r="1516" s="3" customFormat="1" x14ac:dyDescent="0.3"/>
    <row r="1517" s="3" customFormat="1" x14ac:dyDescent="0.3"/>
    <row r="1518" s="3" customFormat="1" x14ac:dyDescent="0.3"/>
    <row r="1519" s="3" customFormat="1" x14ac:dyDescent="0.3"/>
    <row r="1520" s="3" customFormat="1" x14ac:dyDescent="0.3"/>
    <row r="1521" s="3" customFormat="1" x14ac:dyDescent="0.3"/>
    <row r="1522" s="3" customFormat="1" x14ac:dyDescent="0.3"/>
    <row r="1523" s="3" customFormat="1" x14ac:dyDescent="0.3"/>
    <row r="1524" s="3" customFormat="1" x14ac:dyDescent="0.3"/>
    <row r="1525" s="3" customFormat="1" x14ac:dyDescent="0.3"/>
    <row r="1526" s="3" customFormat="1" x14ac:dyDescent="0.3"/>
    <row r="1527" s="3" customFormat="1" x14ac:dyDescent="0.3"/>
    <row r="1528" s="3" customFormat="1" x14ac:dyDescent="0.3"/>
    <row r="1529" s="3" customFormat="1" x14ac:dyDescent="0.3"/>
    <row r="1530" s="3" customFormat="1" x14ac:dyDescent="0.3"/>
    <row r="1531" s="3" customFormat="1" x14ac:dyDescent="0.3"/>
    <row r="1532" s="3" customFormat="1" x14ac:dyDescent="0.3"/>
    <row r="1533" s="3" customFormat="1" x14ac:dyDescent="0.3"/>
    <row r="1534" s="3" customFormat="1" x14ac:dyDescent="0.3"/>
    <row r="1535" s="3" customFormat="1" x14ac:dyDescent="0.3"/>
    <row r="1536" s="3" customFormat="1" x14ac:dyDescent="0.3"/>
    <row r="1537" s="3" customFormat="1" x14ac:dyDescent="0.3"/>
    <row r="1538" s="3" customFormat="1" x14ac:dyDescent="0.3"/>
    <row r="1539" s="3" customFormat="1" x14ac:dyDescent="0.3"/>
    <row r="1540" s="3" customFormat="1" x14ac:dyDescent="0.3"/>
    <row r="1541" s="3" customFormat="1" x14ac:dyDescent="0.3"/>
    <row r="1542" s="3" customFormat="1" x14ac:dyDescent="0.3"/>
    <row r="1543" s="3" customFormat="1" x14ac:dyDescent="0.3"/>
    <row r="1544" s="3" customFormat="1" x14ac:dyDescent="0.3"/>
    <row r="1545" s="3" customFormat="1" x14ac:dyDescent="0.3"/>
    <row r="1546" s="3" customFormat="1" x14ac:dyDescent="0.3"/>
    <row r="1547" s="3" customFormat="1" x14ac:dyDescent="0.3"/>
    <row r="1548" s="3" customFormat="1" x14ac:dyDescent="0.3"/>
    <row r="1549" s="3" customFormat="1" x14ac:dyDescent="0.3"/>
    <row r="1550" s="3" customFormat="1" x14ac:dyDescent="0.3"/>
    <row r="1551" s="3" customFormat="1" x14ac:dyDescent="0.3"/>
    <row r="1552" s="3" customFormat="1" x14ac:dyDescent="0.3"/>
    <row r="1553" s="3" customFormat="1" x14ac:dyDescent="0.3"/>
    <row r="1554" s="3" customFormat="1" x14ac:dyDescent="0.3"/>
    <row r="1555" s="3" customFormat="1" x14ac:dyDescent="0.3"/>
    <row r="1556" s="3" customFormat="1" x14ac:dyDescent="0.3"/>
    <row r="1557" s="3" customFormat="1" x14ac:dyDescent="0.3"/>
    <row r="1558" s="3" customFormat="1" x14ac:dyDescent="0.3"/>
    <row r="1559" s="3" customFormat="1" x14ac:dyDescent="0.3"/>
    <row r="1560" s="3" customFormat="1" x14ac:dyDescent="0.3"/>
    <row r="1561" s="3" customFormat="1" x14ac:dyDescent="0.3"/>
    <row r="1562" s="3" customFormat="1" x14ac:dyDescent="0.3"/>
    <row r="1563" s="3" customFormat="1" x14ac:dyDescent="0.3"/>
    <row r="1564" s="3" customFormat="1" x14ac:dyDescent="0.3"/>
    <row r="1565" s="3" customFormat="1" x14ac:dyDescent="0.3"/>
    <row r="1566" s="3" customFormat="1" x14ac:dyDescent="0.3"/>
    <row r="1567" s="3" customFormat="1" x14ac:dyDescent="0.3"/>
    <row r="1568" s="3" customFormat="1" x14ac:dyDescent="0.3"/>
    <row r="1569" s="3" customFormat="1" x14ac:dyDescent="0.3"/>
    <row r="1570" s="3" customFormat="1" x14ac:dyDescent="0.3"/>
    <row r="1571" s="3" customFormat="1" x14ac:dyDescent="0.3"/>
    <row r="1572" s="3" customFormat="1" x14ac:dyDescent="0.3"/>
    <row r="1573" s="3" customFormat="1" x14ac:dyDescent="0.3"/>
    <row r="1574" s="3" customFormat="1" x14ac:dyDescent="0.3"/>
    <row r="1575" s="3" customFormat="1" x14ac:dyDescent="0.3"/>
    <row r="1576" s="3" customFormat="1" x14ac:dyDescent="0.3"/>
    <row r="1577" s="3" customFormat="1" x14ac:dyDescent="0.3"/>
    <row r="1578" s="3" customFormat="1" x14ac:dyDescent="0.3"/>
    <row r="1579" s="3" customFormat="1" x14ac:dyDescent="0.3"/>
    <row r="1580" s="3" customFormat="1" x14ac:dyDescent="0.3"/>
    <row r="1581" s="3" customFormat="1" x14ac:dyDescent="0.3"/>
    <row r="1582" s="3" customFormat="1" x14ac:dyDescent="0.3"/>
    <row r="1583" s="3" customFormat="1" x14ac:dyDescent="0.3"/>
    <row r="1584" s="3" customFormat="1" x14ac:dyDescent="0.3"/>
    <row r="1585" s="3" customFormat="1" x14ac:dyDescent="0.3"/>
    <row r="1586" s="3" customFormat="1" x14ac:dyDescent="0.3"/>
    <row r="1587" s="3" customFormat="1" x14ac:dyDescent="0.3"/>
    <row r="1588" s="3" customFormat="1" x14ac:dyDescent="0.3"/>
    <row r="1589" s="3" customFormat="1" x14ac:dyDescent="0.3"/>
    <row r="1590" s="3" customFormat="1" x14ac:dyDescent="0.3"/>
    <row r="1591" s="3" customFormat="1" x14ac:dyDescent="0.3"/>
    <row r="1592" s="3" customFormat="1" x14ac:dyDescent="0.3"/>
    <row r="1593" s="3" customFormat="1" x14ac:dyDescent="0.3"/>
    <row r="1594" s="3" customFormat="1" x14ac:dyDescent="0.3"/>
    <row r="1595" s="3" customFormat="1" x14ac:dyDescent="0.3"/>
    <row r="1596" s="3" customFormat="1" x14ac:dyDescent="0.3"/>
    <row r="1597" s="3" customFormat="1" x14ac:dyDescent="0.3"/>
    <row r="1598" s="3" customFormat="1" x14ac:dyDescent="0.3"/>
    <row r="1599" s="3" customFormat="1" x14ac:dyDescent="0.3"/>
    <row r="1600" s="3" customFormat="1" x14ac:dyDescent="0.3"/>
    <row r="1601" s="3" customFormat="1" x14ac:dyDescent="0.3"/>
    <row r="1602" s="3" customFormat="1" x14ac:dyDescent="0.3"/>
    <row r="1603" s="3" customFormat="1" x14ac:dyDescent="0.3"/>
    <row r="1604" s="3" customFormat="1" x14ac:dyDescent="0.3"/>
    <row r="1605" s="3" customFormat="1" x14ac:dyDescent="0.3"/>
    <row r="1606" s="3" customFormat="1" x14ac:dyDescent="0.3"/>
    <row r="1607" s="3" customFormat="1" x14ac:dyDescent="0.3"/>
    <row r="1608" s="3" customFormat="1" x14ac:dyDescent="0.3"/>
    <row r="1609" s="3" customFormat="1" x14ac:dyDescent="0.3"/>
    <row r="1610" s="3" customFormat="1" x14ac:dyDescent="0.3"/>
    <row r="1611" s="3" customFormat="1" x14ac:dyDescent="0.3"/>
    <row r="1612" s="3" customFormat="1" x14ac:dyDescent="0.3"/>
    <row r="1613" s="3" customFormat="1" x14ac:dyDescent="0.3"/>
    <row r="1614" s="3" customFormat="1" x14ac:dyDescent="0.3"/>
    <row r="1615" s="3" customFormat="1" x14ac:dyDescent="0.3"/>
    <row r="1616" s="3" customFormat="1" x14ac:dyDescent="0.3"/>
    <row r="1617" s="3" customFormat="1" x14ac:dyDescent="0.3"/>
    <row r="1618" s="3" customFormat="1" x14ac:dyDescent="0.3"/>
    <row r="1619" s="3" customFormat="1" x14ac:dyDescent="0.3"/>
    <row r="1620" s="3" customFormat="1" x14ac:dyDescent="0.3"/>
    <row r="1621" s="3" customFormat="1" x14ac:dyDescent="0.3"/>
    <row r="1622" s="3" customFormat="1" x14ac:dyDescent="0.3"/>
    <row r="1623" s="3" customFormat="1" x14ac:dyDescent="0.3"/>
    <row r="1624" s="3" customFormat="1" x14ac:dyDescent="0.3"/>
    <row r="1625" s="3" customFormat="1" x14ac:dyDescent="0.3"/>
    <row r="1626" s="3" customFormat="1" x14ac:dyDescent="0.3"/>
    <row r="1627" s="3" customFormat="1" x14ac:dyDescent="0.3"/>
    <row r="1628" s="3" customFormat="1" x14ac:dyDescent="0.3"/>
    <row r="1629" s="3" customFormat="1" x14ac:dyDescent="0.3"/>
    <row r="1630" s="3" customFormat="1" x14ac:dyDescent="0.3"/>
    <row r="1631" s="3" customFormat="1" x14ac:dyDescent="0.3"/>
    <row r="1632" s="3" customFormat="1" x14ac:dyDescent="0.3"/>
    <row r="1633" s="3" customFormat="1" x14ac:dyDescent="0.3"/>
    <row r="1634" s="3" customFormat="1" x14ac:dyDescent="0.3"/>
    <row r="1635" s="3" customFormat="1" x14ac:dyDescent="0.3"/>
    <row r="1636" s="3" customFormat="1" x14ac:dyDescent="0.3"/>
    <row r="1637" s="3" customFormat="1" x14ac:dyDescent="0.3"/>
    <row r="1638" s="3" customFormat="1" x14ac:dyDescent="0.3"/>
    <row r="1639" s="3" customFormat="1" x14ac:dyDescent="0.3"/>
    <row r="1640" s="3" customFormat="1" x14ac:dyDescent="0.3"/>
    <row r="1641" s="3" customFormat="1" x14ac:dyDescent="0.3"/>
    <row r="1642" s="3" customFormat="1" x14ac:dyDescent="0.3"/>
    <row r="1643" s="3" customFormat="1" x14ac:dyDescent="0.3"/>
    <row r="1644" s="3" customFormat="1" x14ac:dyDescent="0.3"/>
    <row r="1645" s="3" customFormat="1" x14ac:dyDescent="0.3"/>
    <row r="1646" s="3" customFormat="1" x14ac:dyDescent="0.3"/>
    <row r="1647" s="3" customFormat="1" x14ac:dyDescent="0.3"/>
    <row r="1648" s="3" customFormat="1" x14ac:dyDescent="0.3"/>
    <row r="1649" s="3" customFormat="1" x14ac:dyDescent="0.3"/>
    <row r="1650" s="3" customFormat="1" x14ac:dyDescent="0.3"/>
    <row r="1651" s="3" customFormat="1" x14ac:dyDescent="0.3"/>
    <row r="1652" s="3" customFormat="1" x14ac:dyDescent="0.3"/>
    <row r="1653" s="3" customFormat="1" x14ac:dyDescent="0.3"/>
    <row r="1654" s="3" customFormat="1" x14ac:dyDescent="0.3"/>
    <row r="1655" s="3" customFormat="1" x14ac:dyDescent="0.3"/>
    <row r="1656" s="3" customFormat="1" x14ac:dyDescent="0.3"/>
    <row r="1657" s="3" customFormat="1" x14ac:dyDescent="0.3"/>
    <row r="1658" s="3" customFormat="1" x14ac:dyDescent="0.3"/>
    <row r="1659" s="3" customFormat="1" x14ac:dyDescent="0.3"/>
    <row r="1660" s="3" customFormat="1" x14ac:dyDescent="0.3"/>
    <row r="1661" s="3" customFormat="1" x14ac:dyDescent="0.3"/>
    <row r="1662" s="3" customFormat="1" x14ac:dyDescent="0.3"/>
    <row r="1663" s="3" customFormat="1" x14ac:dyDescent="0.3"/>
    <row r="1664" s="3" customFormat="1" x14ac:dyDescent="0.3"/>
    <row r="1665" s="3" customFormat="1" x14ac:dyDescent="0.3"/>
    <row r="1666" s="3" customFormat="1" x14ac:dyDescent="0.3"/>
    <row r="1667" s="3" customFormat="1" x14ac:dyDescent="0.3"/>
    <row r="1668" s="3" customFormat="1" x14ac:dyDescent="0.3"/>
    <row r="1669" s="3" customFormat="1" x14ac:dyDescent="0.3"/>
    <row r="1670" s="3" customFormat="1" x14ac:dyDescent="0.3"/>
    <row r="1671" s="3" customFormat="1" x14ac:dyDescent="0.3"/>
    <row r="1672" s="3" customFormat="1" x14ac:dyDescent="0.3"/>
    <row r="1673" s="3" customFormat="1" x14ac:dyDescent="0.3"/>
    <row r="1674" s="3" customFormat="1" x14ac:dyDescent="0.3"/>
    <row r="1675" s="3" customFormat="1" x14ac:dyDescent="0.3"/>
    <row r="1676" s="3" customFormat="1" x14ac:dyDescent="0.3"/>
    <row r="1677" s="3" customFormat="1" x14ac:dyDescent="0.3"/>
    <row r="1678" s="3" customFormat="1" x14ac:dyDescent="0.3"/>
    <row r="1679" s="3" customFormat="1" x14ac:dyDescent="0.3"/>
    <row r="1680" s="3" customFormat="1" x14ac:dyDescent="0.3"/>
    <row r="1681" s="3" customFormat="1" x14ac:dyDescent="0.3"/>
    <row r="1682" s="3" customFormat="1" x14ac:dyDescent="0.3"/>
    <row r="1683" s="3" customFormat="1" x14ac:dyDescent="0.3"/>
    <row r="1684" s="3" customFormat="1" x14ac:dyDescent="0.3"/>
    <row r="1685" s="3" customFormat="1" x14ac:dyDescent="0.3"/>
    <row r="1686" s="3" customFormat="1" x14ac:dyDescent="0.3"/>
    <row r="1687" s="3" customFormat="1" x14ac:dyDescent="0.3"/>
    <row r="1688" s="3" customFormat="1" x14ac:dyDescent="0.3"/>
    <row r="1689" s="3" customFormat="1" x14ac:dyDescent="0.3"/>
    <row r="1690" s="3" customFormat="1" x14ac:dyDescent="0.3"/>
    <row r="1691" s="3" customFormat="1" x14ac:dyDescent="0.3"/>
    <row r="1692" s="3" customFormat="1" x14ac:dyDescent="0.3"/>
    <row r="1693" s="3" customFormat="1" x14ac:dyDescent="0.3"/>
    <row r="1694" s="3" customFormat="1" x14ac:dyDescent="0.3"/>
    <row r="1695" s="3" customFormat="1" x14ac:dyDescent="0.3"/>
    <row r="1696" s="3" customFormat="1" x14ac:dyDescent="0.3"/>
    <row r="1697" s="3" customFormat="1" x14ac:dyDescent="0.3"/>
    <row r="1698" s="3" customFormat="1" x14ac:dyDescent="0.3"/>
    <row r="1699" s="3" customFormat="1" x14ac:dyDescent="0.3"/>
    <row r="1700" s="3" customFormat="1" x14ac:dyDescent="0.3"/>
    <row r="1701" s="3" customFormat="1" x14ac:dyDescent="0.3"/>
    <row r="1702" s="3" customFormat="1" x14ac:dyDescent="0.3"/>
    <row r="1703" s="3" customFormat="1" x14ac:dyDescent="0.3"/>
    <row r="1704" s="3" customFormat="1" x14ac:dyDescent="0.3"/>
    <row r="1705" s="3" customFormat="1" x14ac:dyDescent="0.3"/>
    <row r="1706" s="3" customFormat="1" x14ac:dyDescent="0.3"/>
    <row r="1707" s="3" customFormat="1" x14ac:dyDescent="0.3"/>
    <row r="1708" s="3" customFormat="1" x14ac:dyDescent="0.3"/>
    <row r="1709" s="3" customFormat="1" x14ac:dyDescent="0.3"/>
    <row r="1710" s="3" customFormat="1" x14ac:dyDescent="0.3"/>
    <row r="1711" s="3" customFormat="1" x14ac:dyDescent="0.3"/>
    <row r="1712" s="3" customFormat="1" x14ac:dyDescent="0.3"/>
    <row r="1713" s="3" customFormat="1" x14ac:dyDescent="0.3"/>
    <row r="1714" s="3" customFormat="1" x14ac:dyDescent="0.3"/>
    <row r="1715" s="3" customFormat="1" x14ac:dyDescent="0.3"/>
    <row r="1716" s="3" customFormat="1" x14ac:dyDescent="0.3"/>
    <row r="1717" s="3" customFormat="1" x14ac:dyDescent="0.3"/>
    <row r="1718" s="3" customFormat="1" x14ac:dyDescent="0.3"/>
    <row r="1719" s="3" customFormat="1" x14ac:dyDescent="0.3"/>
    <row r="1720" s="3" customFormat="1" x14ac:dyDescent="0.3"/>
    <row r="1721" s="3" customFormat="1" x14ac:dyDescent="0.3"/>
    <row r="1722" s="3" customFormat="1" x14ac:dyDescent="0.3"/>
    <row r="1723" s="3" customFormat="1" x14ac:dyDescent="0.3"/>
    <row r="1724" s="3" customFormat="1" x14ac:dyDescent="0.3"/>
    <row r="1725" s="3" customFormat="1" x14ac:dyDescent="0.3"/>
    <row r="1726" s="3" customFormat="1" x14ac:dyDescent="0.3"/>
    <row r="1727" s="3" customFormat="1" x14ac:dyDescent="0.3"/>
    <row r="1728" s="3" customFormat="1" x14ac:dyDescent="0.3"/>
    <row r="1729" s="3" customFormat="1" x14ac:dyDescent="0.3"/>
    <row r="1730" s="3" customFormat="1" x14ac:dyDescent="0.3"/>
    <row r="1731" s="3" customFormat="1" x14ac:dyDescent="0.3"/>
    <row r="1732" s="3" customFormat="1" x14ac:dyDescent="0.3"/>
    <row r="1733" s="3" customFormat="1" x14ac:dyDescent="0.3"/>
    <row r="1734" s="3" customFormat="1" x14ac:dyDescent="0.3"/>
    <row r="1735" s="3" customFormat="1" x14ac:dyDescent="0.3"/>
    <row r="1736" s="3" customFormat="1" x14ac:dyDescent="0.3"/>
    <row r="1737" s="3" customFormat="1" x14ac:dyDescent="0.3"/>
    <row r="1738" s="3" customFormat="1" x14ac:dyDescent="0.3"/>
    <row r="1739" s="3" customFormat="1" x14ac:dyDescent="0.3"/>
    <row r="1740" s="3" customFormat="1" x14ac:dyDescent="0.3"/>
    <row r="1741" s="3" customFormat="1" x14ac:dyDescent="0.3"/>
    <row r="1742" s="3" customFormat="1" x14ac:dyDescent="0.3"/>
    <row r="1743" s="3" customFormat="1" x14ac:dyDescent="0.3"/>
    <row r="1744" s="3" customFormat="1" x14ac:dyDescent="0.3"/>
    <row r="1745" s="3" customFormat="1" x14ac:dyDescent="0.3"/>
    <row r="1746" s="3" customFormat="1" x14ac:dyDescent="0.3"/>
    <row r="1747" s="3" customFormat="1" x14ac:dyDescent="0.3"/>
    <row r="1748" s="3" customFormat="1" x14ac:dyDescent="0.3"/>
    <row r="1749" s="3" customFormat="1" x14ac:dyDescent="0.3"/>
    <row r="1750" s="3" customFormat="1" x14ac:dyDescent="0.3"/>
    <row r="1751" s="3" customFormat="1" x14ac:dyDescent="0.3"/>
    <row r="1752" s="3" customFormat="1" x14ac:dyDescent="0.3"/>
    <row r="1753" s="3" customFormat="1" x14ac:dyDescent="0.3"/>
    <row r="1754" s="3" customFormat="1" x14ac:dyDescent="0.3"/>
    <row r="1755" s="3" customFormat="1" x14ac:dyDescent="0.3"/>
    <row r="1756" s="3" customFormat="1" x14ac:dyDescent="0.3"/>
    <row r="1757" s="3" customFormat="1" x14ac:dyDescent="0.3"/>
    <row r="1758" s="3" customFormat="1" x14ac:dyDescent="0.3"/>
    <row r="1759" s="3" customFormat="1" x14ac:dyDescent="0.3"/>
    <row r="1760" s="3" customFormat="1" x14ac:dyDescent="0.3"/>
    <row r="1761" s="3" customFormat="1" x14ac:dyDescent="0.3"/>
    <row r="1762" s="3" customFormat="1" x14ac:dyDescent="0.3"/>
    <row r="1763" s="3" customFormat="1" x14ac:dyDescent="0.3"/>
    <row r="1764" s="3" customFormat="1" x14ac:dyDescent="0.3"/>
    <row r="1765" s="3" customFormat="1" x14ac:dyDescent="0.3"/>
    <row r="1766" s="3" customFormat="1" x14ac:dyDescent="0.3"/>
    <row r="1767" s="3" customFormat="1" x14ac:dyDescent="0.3"/>
    <row r="1768" s="3" customFormat="1" x14ac:dyDescent="0.3"/>
    <row r="1769" s="3" customFormat="1" x14ac:dyDescent="0.3"/>
    <row r="1770" s="3" customFormat="1" x14ac:dyDescent="0.3"/>
    <row r="1771" s="3" customFormat="1" x14ac:dyDescent="0.3"/>
    <row r="1772" s="3" customFormat="1" x14ac:dyDescent="0.3"/>
    <row r="1773" s="3" customFormat="1" x14ac:dyDescent="0.3"/>
    <row r="1774" s="3" customFormat="1" x14ac:dyDescent="0.3"/>
    <row r="1775" s="3" customFormat="1" x14ac:dyDescent="0.3"/>
    <row r="1776" s="3" customFormat="1" x14ac:dyDescent="0.3"/>
    <row r="1777" s="3" customFormat="1" x14ac:dyDescent="0.3"/>
    <row r="1778" s="3" customFormat="1" x14ac:dyDescent="0.3"/>
    <row r="1779" s="3" customFormat="1" x14ac:dyDescent="0.3"/>
    <row r="1780" s="3" customFormat="1" x14ac:dyDescent="0.3"/>
    <row r="1781" s="3" customFormat="1" x14ac:dyDescent="0.3"/>
    <row r="1782" s="3" customFormat="1" x14ac:dyDescent="0.3"/>
    <row r="1783" s="3" customFormat="1" x14ac:dyDescent="0.3"/>
    <row r="1784" s="3" customFormat="1" x14ac:dyDescent="0.3"/>
    <row r="1785" s="3" customFormat="1" x14ac:dyDescent="0.3"/>
    <row r="1786" s="3" customFormat="1" x14ac:dyDescent="0.3"/>
    <row r="1787" s="3" customFormat="1" x14ac:dyDescent="0.3"/>
    <row r="1788" s="3" customFormat="1" x14ac:dyDescent="0.3"/>
    <row r="1789" s="3" customFormat="1" x14ac:dyDescent="0.3"/>
    <row r="1790" s="3" customFormat="1" x14ac:dyDescent="0.3"/>
    <row r="1791" s="3" customFormat="1" x14ac:dyDescent="0.3"/>
    <row r="1792" s="3" customFormat="1" x14ac:dyDescent="0.3"/>
    <row r="1793" s="3" customFormat="1" x14ac:dyDescent="0.3"/>
    <row r="1794" s="3" customFormat="1" x14ac:dyDescent="0.3"/>
    <row r="1795" s="3" customFormat="1" x14ac:dyDescent="0.3"/>
    <row r="1796" s="3" customFormat="1" x14ac:dyDescent="0.3"/>
    <row r="1797" s="3" customFormat="1" x14ac:dyDescent="0.3"/>
    <row r="1798" s="3" customFormat="1" x14ac:dyDescent="0.3"/>
    <row r="1799" s="3" customFormat="1" x14ac:dyDescent="0.3"/>
    <row r="1800" s="3" customFormat="1" x14ac:dyDescent="0.3"/>
    <row r="1801" s="3" customFormat="1" x14ac:dyDescent="0.3"/>
    <row r="1802" s="3" customFormat="1" x14ac:dyDescent="0.3"/>
    <row r="1803" s="3" customFormat="1" x14ac:dyDescent="0.3"/>
    <row r="1804" s="3" customFormat="1" x14ac:dyDescent="0.3"/>
    <row r="1805" s="3" customFormat="1" x14ac:dyDescent="0.3"/>
    <row r="1806" s="3" customFormat="1" x14ac:dyDescent="0.3"/>
    <row r="1807" s="3" customFormat="1" x14ac:dyDescent="0.3"/>
    <row r="1808" s="3" customFormat="1" x14ac:dyDescent="0.3"/>
    <row r="1809" s="3" customFormat="1" x14ac:dyDescent="0.3"/>
    <row r="1810" s="3" customFormat="1" x14ac:dyDescent="0.3"/>
    <row r="1811" s="3" customFormat="1" x14ac:dyDescent="0.3"/>
    <row r="1812" s="3" customFormat="1" x14ac:dyDescent="0.3"/>
    <row r="1813" s="3" customFormat="1" x14ac:dyDescent="0.3"/>
    <row r="1814" s="3" customFormat="1" x14ac:dyDescent="0.3"/>
    <row r="1815" s="3" customFormat="1" x14ac:dyDescent="0.3"/>
    <row r="1816" s="3" customFormat="1" x14ac:dyDescent="0.3"/>
    <row r="1817" s="3" customFormat="1" x14ac:dyDescent="0.3"/>
    <row r="1818" s="3" customFormat="1" x14ac:dyDescent="0.3"/>
    <row r="1819" s="3" customFormat="1" x14ac:dyDescent="0.3"/>
    <row r="1820" s="3" customFormat="1" x14ac:dyDescent="0.3"/>
    <row r="1821" s="3" customFormat="1" x14ac:dyDescent="0.3"/>
    <row r="1822" s="3" customFormat="1" x14ac:dyDescent="0.3"/>
    <row r="1823" s="3" customFormat="1" x14ac:dyDescent="0.3"/>
    <row r="1824" s="3" customFormat="1" x14ac:dyDescent="0.3"/>
    <row r="1825" s="3" customFormat="1" x14ac:dyDescent="0.3"/>
    <row r="1826" s="3" customFormat="1" x14ac:dyDescent="0.3"/>
    <row r="1827" s="3" customFormat="1" x14ac:dyDescent="0.3"/>
    <row r="1828" s="3" customFormat="1" x14ac:dyDescent="0.3"/>
    <row r="1829" s="3" customFormat="1" x14ac:dyDescent="0.3"/>
    <row r="1830" s="3" customFormat="1" x14ac:dyDescent="0.3"/>
    <row r="1831" s="3" customFormat="1" x14ac:dyDescent="0.3"/>
    <row r="1832" s="3" customFormat="1" x14ac:dyDescent="0.3"/>
    <row r="1833" s="3" customFormat="1" x14ac:dyDescent="0.3"/>
    <row r="1834" s="3" customFormat="1" x14ac:dyDescent="0.3"/>
    <row r="1835" s="3" customFormat="1" x14ac:dyDescent="0.3"/>
    <row r="1836" s="3" customFormat="1" x14ac:dyDescent="0.3"/>
    <row r="1837" s="3" customFormat="1" x14ac:dyDescent="0.3"/>
    <row r="1838" s="3" customFormat="1" x14ac:dyDescent="0.3"/>
    <row r="1839" s="3" customFormat="1" x14ac:dyDescent="0.3"/>
    <row r="1840" s="3" customFormat="1" x14ac:dyDescent="0.3"/>
    <row r="1841" s="3" customFormat="1" x14ac:dyDescent="0.3"/>
    <row r="1842" s="3" customFormat="1" x14ac:dyDescent="0.3"/>
    <row r="1843" s="3" customFormat="1" x14ac:dyDescent="0.3"/>
    <row r="1844" s="3" customFormat="1" x14ac:dyDescent="0.3"/>
    <row r="1845" s="3" customFormat="1" x14ac:dyDescent="0.3"/>
    <row r="1846" s="3" customFormat="1" x14ac:dyDescent="0.3"/>
    <row r="1847" s="3" customFormat="1" x14ac:dyDescent="0.3"/>
    <row r="1848" s="3" customFormat="1" x14ac:dyDescent="0.3"/>
    <row r="1849" s="3" customFormat="1" x14ac:dyDescent="0.3"/>
    <row r="1850" s="3" customFormat="1" x14ac:dyDescent="0.3"/>
    <row r="1851" s="3" customFormat="1" x14ac:dyDescent="0.3"/>
    <row r="1852" s="3" customFormat="1" x14ac:dyDescent="0.3"/>
    <row r="1853" s="3" customFormat="1" x14ac:dyDescent="0.3"/>
    <row r="1854" s="3" customFormat="1" x14ac:dyDescent="0.3"/>
    <row r="1855" s="3" customFormat="1" x14ac:dyDescent="0.3"/>
    <row r="1856" s="3" customFormat="1" x14ac:dyDescent="0.3"/>
    <row r="1857" s="3" customFormat="1" x14ac:dyDescent="0.3"/>
    <row r="1858" s="3" customFormat="1" x14ac:dyDescent="0.3"/>
    <row r="1859" s="3" customFormat="1" x14ac:dyDescent="0.3"/>
    <row r="1860" s="3" customFormat="1" x14ac:dyDescent="0.3"/>
    <row r="1861" s="3" customFormat="1" x14ac:dyDescent="0.3"/>
    <row r="1862" s="3" customFormat="1" x14ac:dyDescent="0.3"/>
    <row r="1863" s="3" customFormat="1" x14ac:dyDescent="0.3"/>
    <row r="1864" s="3" customFormat="1" x14ac:dyDescent="0.3"/>
    <row r="1865" s="3" customFormat="1" x14ac:dyDescent="0.3"/>
    <row r="1866" s="3" customFormat="1" x14ac:dyDescent="0.3"/>
    <row r="1867" s="3" customFormat="1" x14ac:dyDescent="0.3"/>
    <row r="1868" s="3" customFormat="1" x14ac:dyDescent="0.3"/>
    <row r="1869" s="3" customFormat="1" x14ac:dyDescent="0.3"/>
    <row r="1870" s="3" customFormat="1" x14ac:dyDescent="0.3"/>
    <row r="1871" s="3" customFormat="1" x14ac:dyDescent="0.3"/>
    <row r="1872" s="3" customFormat="1" x14ac:dyDescent="0.3"/>
    <row r="1873" s="3" customFormat="1" x14ac:dyDescent="0.3"/>
    <row r="1874" s="3" customFormat="1" x14ac:dyDescent="0.3"/>
    <row r="1875" s="3" customFormat="1" x14ac:dyDescent="0.3"/>
    <row r="1876" s="3" customFormat="1" x14ac:dyDescent="0.3"/>
    <row r="1877" s="3" customFormat="1" x14ac:dyDescent="0.3"/>
    <row r="1878" s="3" customFormat="1" x14ac:dyDescent="0.3"/>
    <row r="1879" s="3" customFormat="1" x14ac:dyDescent="0.3"/>
    <row r="1880" s="3" customFormat="1" x14ac:dyDescent="0.3"/>
    <row r="1881" s="3" customFormat="1" x14ac:dyDescent="0.3"/>
    <row r="1882" s="3" customFormat="1" x14ac:dyDescent="0.3"/>
    <row r="1883" s="3" customFormat="1" x14ac:dyDescent="0.3"/>
    <row r="1884" s="3" customFormat="1" x14ac:dyDescent="0.3"/>
    <row r="1885" s="3" customFormat="1" x14ac:dyDescent="0.3"/>
    <row r="1886" s="3" customFormat="1" x14ac:dyDescent="0.3"/>
    <row r="1887" s="3" customFormat="1" x14ac:dyDescent="0.3"/>
    <row r="1888" s="3" customFormat="1" x14ac:dyDescent="0.3"/>
    <row r="1889" s="3" customFormat="1" x14ac:dyDescent="0.3"/>
    <row r="1890" s="3" customFormat="1" x14ac:dyDescent="0.3"/>
    <row r="1891" s="3" customFormat="1" x14ac:dyDescent="0.3"/>
    <row r="1892" s="3" customFormat="1" x14ac:dyDescent="0.3"/>
    <row r="1893" s="3" customFormat="1" x14ac:dyDescent="0.3"/>
    <row r="1894" s="3" customFormat="1" x14ac:dyDescent="0.3"/>
    <row r="1895" s="3" customFormat="1" x14ac:dyDescent="0.3"/>
    <row r="1896" s="3" customFormat="1" x14ac:dyDescent="0.3"/>
    <row r="1897" s="3" customFormat="1" x14ac:dyDescent="0.3"/>
    <row r="1898" s="3" customFormat="1" x14ac:dyDescent="0.3"/>
    <row r="1899" s="3" customFormat="1" x14ac:dyDescent="0.3"/>
    <row r="1900" s="3" customFormat="1" x14ac:dyDescent="0.3"/>
    <row r="1901" s="3" customFormat="1" x14ac:dyDescent="0.3"/>
    <row r="1902" s="3" customFormat="1" x14ac:dyDescent="0.3"/>
    <row r="1903" s="3" customFormat="1" x14ac:dyDescent="0.3"/>
    <row r="1904" s="3" customFormat="1" x14ac:dyDescent="0.3"/>
    <row r="1905" s="3" customFormat="1" x14ac:dyDescent="0.3"/>
    <row r="1906" s="3" customFormat="1" x14ac:dyDescent="0.3"/>
    <row r="1907" s="3" customFormat="1" x14ac:dyDescent="0.3"/>
    <row r="1908" s="3" customFormat="1" x14ac:dyDescent="0.3"/>
    <row r="1909" s="3" customFormat="1" x14ac:dyDescent="0.3"/>
    <row r="1910" s="3" customFormat="1" x14ac:dyDescent="0.3"/>
    <row r="1911" s="3" customFormat="1" x14ac:dyDescent="0.3"/>
    <row r="1912" s="3" customFormat="1" x14ac:dyDescent="0.3"/>
    <row r="1913" s="3" customFormat="1" x14ac:dyDescent="0.3"/>
    <row r="1914" s="3" customFormat="1" x14ac:dyDescent="0.3"/>
    <row r="1915" s="3" customFormat="1" x14ac:dyDescent="0.3"/>
    <row r="1916" s="3" customFormat="1" x14ac:dyDescent="0.3"/>
    <row r="1917" s="3" customFormat="1" x14ac:dyDescent="0.3"/>
    <row r="1918" s="3" customFormat="1" x14ac:dyDescent="0.3"/>
    <row r="1919" s="3" customFormat="1" x14ac:dyDescent="0.3"/>
    <row r="1920" s="3" customFormat="1" x14ac:dyDescent="0.3"/>
    <row r="1921" s="3" customFormat="1" x14ac:dyDescent="0.3"/>
    <row r="1922" s="3" customFormat="1" x14ac:dyDescent="0.3"/>
    <row r="1923" s="3" customFormat="1" x14ac:dyDescent="0.3"/>
    <row r="1924" s="3" customFormat="1" x14ac:dyDescent="0.3"/>
    <row r="1925" s="3" customFormat="1" x14ac:dyDescent="0.3"/>
    <row r="1926" s="3" customFormat="1" x14ac:dyDescent="0.3"/>
    <row r="1927" s="3" customFormat="1" x14ac:dyDescent="0.3"/>
    <row r="1928" s="3" customFormat="1" x14ac:dyDescent="0.3"/>
    <row r="1929" s="3" customFormat="1" x14ac:dyDescent="0.3"/>
    <row r="1930" s="3" customFormat="1" x14ac:dyDescent="0.3"/>
    <row r="1931" s="3" customFormat="1" x14ac:dyDescent="0.3"/>
    <row r="1932" s="3" customFormat="1" x14ac:dyDescent="0.3"/>
    <row r="1933" s="3" customFormat="1" x14ac:dyDescent="0.3"/>
    <row r="1934" s="3" customFormat="1" x14ac:dyDescent="0.3"/>
    <row r="1935" s="3" customFormat="1" x14ac:dyDescent="0.3"/>
    <row r="1936" s="3" customFormat="1" x14ac:dyDescent="0.3"/>
    <row r="1937" s="3" customFormat="1" x14ac:dyDescent="0.3"/>
    <row r="1938" s="3" customFormat="1" x14ac:dyDescent="0.3"/>
    <row r="1939" s="3" customFormat="1" x14ac:dyDescent="0.3"/>
    <row r="1940" s="3" customFormat="1" x14ac:dyDescent="0.3"/>
    <row r="1941" s="3" customFormat="1" x14ac:dyDescent="0.3"/>
    <row r="1942" s="3" customFormat="1" x14ac:dyDescent="0.3"/>
    <row r="1943" s="3" customFormat="1" x14ac:dyDescent="0.3"/>
    <row r="1944" s="3" customFormat="1" x14ac:dyDescent="0.3"/>
    <row r="1945" s="3" customFormat="1" x14ac:dyDescent="0.3"/>
    <row r="1946" s="3" customFormat="1" x14ac:dyDescent="0.3"/>
    <row r="1947" s="3" customFormat="1" x14ac:dyDescent="0.3"/>
    <row r="1948" s="3" customFormat="1" x14ac:dyDescent="0.3"/>
    <row r="1949" s="3" customFormat="1" x14ac:dyDescent="0.3"/>
    <row r="1950" s="3" customFormat="1" x14ac:dyDescent="0.3"/>
    <row r="1951" s="3" customFormat="1" x14ac:dyDescent="0.3"/>
    <row r="1952" s="3" customFormat="1" x14ac:dyDescent="0.3"/>
    <row r="1953" s="3" customFormat="1" x14ac:dyDescent="0.3"/>
    <row r="1954" s="3" customFormat="1" x14ac:dyDescent="0.3"/>
    <row r="1955" s="3" customFormat="1" x14ac:dyDescent="0.3"/>
    <row r="1956" s="3" customFormat="1" x14ac:dyDescent="0.3"/>
    <row r="1957" s="3" customFormat="1" x14ac:dyDescent="0.3"/>
    <row r="1958" s="3" customFormat="1" x14ac:dyDescent="0.3"/>
    <row r="1959" s="3" customFormat="1" x14ac:dyDescent="0.3"/>
    <row r="1960" s="3" customFormat="1" x14ac:dyDescent="0.3"/>
    <row r="1961" s="3" customFormat="1" x14ac:dyDescent="0.3"/>
    <row r="1962" s="3" customFormat="1" x14ac:dyDescent="0.3"/>
    <row r="1963" s="3" customFormat="1" x14ac:dyDescent="0.3"/>
    <row r="1964" s="3" customFormat="1" x14ac:dyDescent="0.3"/>
    <row r="1965" s="3" customFormat="1" x14ac:dyDescent="0.3"/>
    <row r="1966" s="3" customFormat="1" x14ac:dyDescent="0.3"/>
    <row r="1967" s="3" customFormat="1" x14ac:dyDescent="0.3"/>
    <row r="1968" s="3" customFormat="1" x14ac:dyDescent="0.3"/>
    <row r="1969" s="3" customFormat="1" x14ac:dyDescent="0.3"/>
    <row r="1970" s="3" customFormat="1" x14ac:dyDescent="0.3"/>
    <row r="1971" s="3" customFormat="1" x14ac:dyDescent="0.3"/>
    <row r="1972" s="3" customFormat="1" x14ac:dyDescent="0.3"/>
    <row r="1973" s="3" customFormat="1" x14ac:dyDescent="0.3"/>
    <row r="1974" s="3" customFormat="1" x14ac:dyDescent="0.3"/>
    <row r="1975" s="3" customFormat="1" x14ac:dyDescent="0.3"/>
    <row r="1976" s="3" customFormat="1" x14ac:dyDescent="0.3"/>
    <row r="1977" s="3" customFormat="1" x14ac:dyDescent="0.3"/>
    <row r="1978" s="3" customFormat="1" x14ac:dyDescent="0.3"/>
    <row r="1979" s="3" customFormat="1" x14ac:dyDescent="0.3"/>
    <row r="1980" s="3" customFormat="1" x14ac:dyDescent="0.3"/>
    <row r="1981" s="3" customFormat="1" x14ac:dyDescent="0.3"/>
    <row r="1982" s="3" customFormat="1" x14ac:dyDescent="0.3"/>
    <row r="1983" s="3" customFormat="1" x14ac:dyDescent="0.3"/>
    <row r="1984" s="3" customFormat="1" x14ac:dyDescent="0.3"/>
    <row r="1985" s="3" customFormat="1" x14ac:dyDescent="0.3"/>
    <row r="1986" s="3" customFormat="1" x14ac:dyDescent="0.3"/>
    <row r="1987" s="3" customFormat="1" x14ac:dyDescent="0.3"/>
    <row r="1988" s="3" customFormat="1" x14ac:dyDescent="0.3"/>
    <row r="1989" s="3" customFormat="1" x14ac:dyDescent="0.3"/>
    <row r="1990" s="3" customFormat="1" x14ac:dyDescent="0.3"/>
    <row r="1991" s="3" customFormat="1" x14ac:dyDescent="0.3"/>
    <row r="1992" s="3" customFormat="1" x14ac:dyDescent="0.3"/>
    <row r="1993" s="3" customFormat="1" x14ac:dyDescent="0.3"/>
    <row r="1994" s="3" customFormat="1" x14ac:dyDescent="0.3"/>
    <row r="1995" s="3" customFormat="1" x14ac:dyDescent="0.3"/>
    <row r="1996" s="3" customFormat="1" x14ac:dyDescent="0.3"/>
    <row r="1997" s="3" customFormat="1" x14ac:dyDescent="0.3"/>
    <row r="1998" s="3" customFormat="1" x14ac:dyDescent="0.3"/>
    <row r="1999" s="3" customFormat="1" x14ac:dyDescent="0.3"/>
    <row r="2000" s="3" customFormat="1" x14ac:dyDescent="0.3"/>
    <row r="2001" s="3" customFormat="1" x14ac:dyDescent="0.3"/>
    <row r="2002" s="3" customFormat="1" x14ac:dyDescent="0.3"/>
    <row r="2003" s="3" customFormat="1" x14ac:dyDescent="0.3"/>
    <row r="2004" s="3" customFormat="1" x14ac:dyDescent="0.3"/>
    <row r="2005" s="3" customFormat="1" x14ac:dyDescent="0.3"/>
    <row r="2006" s="3" customFormat="1" x14ac:dyDescent="0.3"/>
    <row r="2007" s="3" customFormat="1" x14ac:dyDescent="0.3"/>
    <row r="2008" s="3" customFormat="1" x14ac:dyDescent="0.3"/>
    <row r="2009" s="3" customFormat="1" x14ac:dyDescent="0.3"/>
    <row r="2010" s="3" customFormat="1" x14ac:dyDescent="0.3"/>
    <row r="2011" s="3" customFormat="1" x14ac:dyDescent="0.3"/>
    <row r="2012" s="3" customFormat="1" x14ac:dyDescent="0.3"/>
    <row r="2013" s="3" customFormat="1" x14ac:dyDescent="0.3"/>
    <row r="2014" s="3" customFormat="1" x14ac:dyDescent="0.3"/>
    <row r="2015" s="3" customFormat="1" x14ac:dyDescent="0.3"/>
    <row r="2016" s="3" customFormat="1" x14ac:dyDescent="0.3"/>
    <row r="2017" s="3" customFormat="1" x14ac:dyDescent="0.3"/>
    <row r="2018" s="3" customFormat="1" x14ac:dyDescent="0.3"/>
    <row r="2019" s="3" customFormat="1" x14ac:dyDescent="0.3"/>
    <row r="2020" s="3" customFormat="1" x14ac:dyDescent="0.3"/>
    <row r="2021" s="3" customFormat="1" x14ac:dyDescent="0.3"/>
    <row r="2022" s="3" customFormat="1" x14ac:dyDescent="0.3"/>
    <row r="2023" s="3" customFormat="1" x14ac:dyDescent="0.3"/>
    <row r="2024" s="3" customFormat="1" x14ac:dyDescent="0.3"/>
    <row r="2025" s="3" customFormat="1" x14ac:dyDescent="0.3"/>
    <row r="2026" s="3" customFormat="1" x14ac:dyDescent="0.3"/>
    <row r="2027" s="3" customFormat="1" x14ac:dyDescent="0.3"/>
    <row r="2028" s="3" customFormat="1" x14ac:dyDescent="0.3"/>
    <row r="2029" s="3" customFormat="1" x14ac:dyDescent="0.3"/>
    <row r="2030" s="3" customFormat="1" x14ac:dyDescent="0.3"/>
    <row r="2031" s="3" customFormat="1" x14ac:dyDescent="0.3"/>
    <row r="2032" s="3" customFormat="1" x14ac:dyDescent="0.3"/>
    <row r="2033" s="3" customFormat="1" x14ac:dyDescent="0.3"/>
    <row r="2034" s="3" customFormat="1" x14ac:dyDescent="0.3"/>
    <row r="2035" s="3" customFormat="1" x14ac:dyDescent="0.3"/>
    <row r="2036" s="3" customFormat="1" x14ac:dyDescent="0.3"/>
    <row r="2037" s="3" customFormat="1" x14ac:dyDescent="0.3"/>
    <row r="2038" s="3" customFormat="1" x14ac:dyDescent="0.3"/>
    <row r="2039" s="3" customFormat="1" x14ac:dyDescent="0.3"/>
    <row r="2040" s="3" customFormat="1" x14ac:dyDescent="0.3"/>
    <row r="2041" s="3" customFormat="1" x14ac:dyDescent="0.3"/>
    <row r="2042" s="3" customFormat="1" x14ac:dyDescent="0.3"/>
    <row r="2043" s="3" customFormat="1" x14ac:dyDescent="0.3"/>
    <row r="2044" s="3" customFormat="1" x14ac:dyDescent="0.3"/>
    <row r="2045" s="3" customFormat="1" x14ac:dyDescent="0.3"/>
    <row r="2046" s="3" customFormat="1" x14ac:dyDescent="0.3"/>
    <row r="2047" s="3" customFormat="1" x14ac:dyDescent="0.3"/>
    <row r="2048" s="3" customFormat="1" x14ac:dyDescent="0.3"/>
    <row r="2049" s="3" customFormat="1" x14ac:dyDescent="0.3"/>
    <row r="2050" s="3" customFormat="1" x14ac:dyDescent="0.3"/>
    <row r="2051" s="3" customFormat="1" x14ac:dyDescent="0.3"/>
    <row r="2052" s="3" customFormat="1" x14ac:dyDescent="0.3"/>
    <row r="2053" s="3" customFormat="1" x14ac:dyDescent="0.3"/>
    <row r="2054" s="3" customFormat="1" x14ac:dyDescent="0.3"/>
    <row r="2055" s="3" customFormat="1" x14ac:dyDescent="0.3"/>
    <row r="2056" s="3" customFormat="1" x14ac:dyDescent="0.3"/>
    <row r="2057" s="3" customFormat="1" x14ac:dyDescent="0.3"/>
    <row r="2058" s="3" customFormat="1" x14ac:dyDescent="0.3"/>
    <row r="2059" s="3" customFormat="1" x14ac:dyDescent="0.3"/>
    <row r="2060" s="3" customFormat="1" x14ac:dyDescent="0.3"/>
    <row r="2061" s="3" customFormat="1" x14ac:dyDescent="0.3"/>
    <row r="2062" s="3" customFormat="1" x14ac:dyDescent="0.3"/>
    <row r="2063" s="3" customFormat="1" x14ac:dyDescent="0.3"/>
    <row r="2064" s="3" customFormat="1" x14ac:dyDescent="0.3"/>
    <row r="2065" s="3" customFormat="1" x14ac:dyDescent="0.3"/>
    <row r="2066" s="3" customFormat="1" x14ac:dyDescent="0.3"/>
    <row r="2067" s="3" customFormat="1" x14ac:dyDescent="0.3"/>
    <row r="2068" s="3" customFormat="1" x14ac:dyDescent="0.3"/>
    <row r="2069" s="3" customFormat="1" x14ac:dyDescent="0.3"/>
    <row r="2070" s="3" customFormat="1" x14ac:dyDescent="0.3"/>
    <row r="2071" s="3" customFormat="1" x14ac:dyDescent="0.3"/>
    <row r="2072" s="3" customFormat="1" x14ac:dyDescent="0.3"/>
    <row r="2073" s="3" customFormat="1" x14ac:dyDescent="0.3"/>
    <row r="2074" s="3" customFormat="1" x14ac:dyDescent="0.3"/>
    <row r="2075" s="3" customFormat="1" x14ac:dyDescent="0.3"/>
    <row r="2076" s="3" customFormat="1" x14ac:dyDescent="0.3"/>
    <row r="2077" s="3" customFormat="1" x14ac:dyDescent="0.3"/>
    <row r="2078" s="3" customFormat="1" x14ac:dyDescent="0.3"/>
    <row r="2079" s="3" customFormat="1" x14ac:dyDescent="0.3"/>
    <row r="2080" s="3" customFormat="1" x14ac:dyDescent="0.3"/>
    <row r="2081" s="3" customFormat="1" x14ac:dyDescent="0.3"/>
    <row r="2082" s="3" customFormat="1" x14ac:dyDescent="0.3"/>
    <row r="2083" s="3" customFormat="1" x14ac:dyDescent="0.3"/>
    <row r="2084" s="3" customFormat="1" x14ac:dyDescent="0.3"/>
    <row r="2085" s="3" customFormat="1" x14ac:dyDescent="0.3"/>
    <row r="2086" s="3" customFormat="1" x14ac:dyDescent="0.3"/>
    <row r="2087" s="3" customFormat="1" x14ac:dyDescent="0.3"/>
    <row r="2088" s="3" customFormat="1" x14ac:dyDescent="0.3"/>
    <row r="2089" s="3" customFormat="1" x14ac:dyDescent="0.3"/>
    <row r="2090" s="3" customFormat="1" x14ac:dyDescent="0.3"/>
    <row r="2091" s="3" customFormat="1" x14ac:dyDescent="0.3"/>
    <row r="2092" s="3" customFormat="1" x14ac:dyDescent="0.3"/>
    <row r="2093" s="3" customFormat="1" x14ac:dyDescent="0.3"/>
    <row r="2094" s="3" customFormat="1" x14ac:dyDescent="0.3"/>
    <row r="2095" s="3" customFormat="1" x14ac:dyDescent="0.3"/>
    <row r="2096" s="3" customFormat="1" x14ac:dyDescent="0.3"/>
    <row r="2097" s="3" customFormat="1" x14ac:dyDescent="0.3"/>
    <row r="2098" s="3" customFormat="1" x14ac:dyDescent="0.3"/>
    <row r="2099" s="3" customFormat="1" x14ac:dyDescent="0.3"/>
    <row r="2100" s="3" customFormat="1" x14ac:dyDescent="0.3"/>
    <row r="2101" s="3" customFormat="1" x14ac:dyDescent="0.3"/>
    <row r="2102" s="3" customFormat="1" x14ac:dyDescent="0.3"/>
    <row r="2103" s="3" customFormat="1" x14ac:dyDescent="0.3"/>
    <row r="2104" s="3" customFormat="1" x14ac:dyDescent="0.3"/>
    <row r="2105" s="3" customFormat="1" x14ac:dyDescent="0.3"/>
    <row r="2106" s="3" customFormat="1" x14ac:dyDescent="0.3"/>
    <row r="2107" s="3" customFormat="1" x14ac:dyDescent="0.3"/>
    <row r="2108" s="3" customFormat="1" x14ac:dyDescent="0.3"/>
    <row r="2109" s="3" customFormat="1" x14ac:dyDescent="0.3"/>
    <row r="2110" s="3" customFormat="1" x14ac:dyDescent="0.3"/>
    <row r="2111" s="3" customFormat="1" x14ac:dyDescent="0.3"/>
    <row r="2112" s="3" customFormat="1" x14ac:dyDescent="0.3"/>
    <row r="2113" s="3" customFormat="1" x14ac:dyDescent="0.3"/>
    <row r="2114" s="3" customFormat="1" x14ac:dyDescent="0.3"/>
    <row r="2115" s="3" customFormat="1" x14ac:dyDescent="0.3"/>
    <row r="2116" s="3" customFormat="1" x14ac:dyDescent="0.3"/>
    <row r="2117" s="3" customFormat="1" x14ac:dyDescent="0.3"/>
    <row r="2118" s="3" customFormat="1" x14ac:dyDescent="0.3"/>
    <row r="2119" s="3" customFormat="1" x14ac:dyDescent="0.3"/>
    <row r="2120" s="3" customFormat="1" x14ac:dyDescent="0.3"/>
    <row r="2121" s="3" customFormat="1" x14ac:dyDescent="0.3"/>
    <row r="2122" s="3" customFormat="1" x14ac:dyDescent="0.3"/>
    <row r="2123" s="3" customFormat="1" x14ac:dyDescent="0.3"/>
    <row r="2124" s="3" customFormat="1" x14ac:dyDescent="0.3"/>
    <row r="2125" s="3" customFormat="1" x14ac:dyDescent="0.3"/>
    <row r="2126" s="3" customFormat="1" x14ac:dyDescent="0.3"/>
    <row r="2127" s="3" customFormat="1" x14ac:dyDescent="0.3"/>
    <row r="2128" s="3" customFormat="1" x14ac:dyDescent="0.3"/>
    <row r="2129" s="3" customFormat="1" x14ac:dyDescent="0.3"/>
    <row r="2130" s="3" customFormat="1" x14ac:dyDescent="0.3"/>
    <row r="2131" s="3" customFormat="1" x14ac:dyDescent="0.3"/>
    <row r="2132" s="3" customFormat="1" x14ac:dyDescent="0.3"/>
    <row r="2133" s="3" customFormat="1" x14ac:dyDescent="0.3"/>
    <row r="2134" s="3" customFormat="1" x14ac:dyDescent="0.3"/>
    <row r="2135" s="3" customFormat="1" x14ac:dyDescent="0.3"/>
    <row r="2136" s="3" customFormat="1" x14ac:dyDescent="0.3"/>
    <row r="2137" s="3" customFormat="1" x14ac:dyDescent="0.3"/>
    <row r="2138" s="3" customFormat="1" x14ac:dyDescent="0.3"/>
    <row r="2139" s="3" customFormat="1" x14ac:dyDescent="0.3"/>
    <row r="2140" s="3" customFormat="1" x14ac:dyDescent="0.3"/>
    <row r="2141" s="3" customFormat="1" x14ac:dyDescent="0.3"/>
    <row r="2142" s="3" customFormat="1" x14ac:dyDescent="0.3"/>
    <row r="2143" s="3" customFormat="1" x14ac:dyDescent="0.3"/>
    <row r="2144" s="3" customFormat="1" x14ac:dyDescent="0.3"/>
    <row r="2145" spans="1:19" s="3" customFormat="1" x14ac:dyDescent="0.3"/>
    <row r="2146" spans="1:19" s="3" customFormat="1" x14ac:dyDescent="0.3"/>
    <row r="2147" spans="1:19" s="2" customFormat="1" x14ac:dyDescent="0.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</row>
    <row r="2148" spans="1:19" s="2" customFormat="1" x14ac:dyDescent="0.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</row>
    <row r="2149" spans="1:19" s="2" customFormat="1" x14ac:dyDescent="0.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</row>
    <row r="2150" spans="1:19" s="2" customFormat="1" x14ac:dyDescent="0.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</row>
    <row r="2151" spans="1:19" s="2" customFormat="1" x14ac:dyDescent="0.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</row>
    <row r="2152" spans="1:19" s="2" customFormat="1" x14ac:dyDescent="0.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</row>
    <row r="2153" spans="1:19" s="2" customFormat="1" x14ac:dyDescent="0.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</row>
    <row r="2154" spans="1:19" s="2" customFormat="1" x14ac:dyDescent="0.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</row>
    <row r="2155" spans="1:19" s="2" customFormat="1" x14ac:dyDescent="0.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</row>
    <row r="2156" spans="1:19" s="2" customFormat="1" x14ac:dyDescent="0.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</row>
    <row r="2157" spans="1:19" s="2" customFormat="1" x14ac:dyDescent="0.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</row>
    <row r="2158" spans="1:19" s="2" customFormat="1" x14ac:dyDescent="0.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</row>
    <row r="2159" spans="1:19" s="2" customFormat="1" x14ac:dyDescent="0.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</row>
    <row r="2160" spans="1:19" s="2" customFormat="1" x14ac:dyDescent="0.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</row>
    <row r="2161" spans="1:19" s="2" customFormat="1" x14ac:dyDescent="0.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</row>
    <row r="2162" spans="1:19" s="2" customFormat="1" x14ac:dyDescent="0.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</row>
    <row r="2163" spans="1:19" s="2" customFormat="1" x14ac:dyDescent="0.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</row>
    <row r="2164" spans="1:19" s="2" customFormat="1" x14ac:dyDescent="0.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</row>
    <row r="2165" spans="1:19" s="2" customFormat="1" x14ac:dyDescent="0.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</row>
    <row r="2166" spans="1:19" s="2" customFormat="1" x14ac:dyDescent="0.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</row>
    <row r="2167" spans="1:19" s="2" customFormat="1" x14ac:dyDescent="0.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</row>
    <row r="2168" spans="1:19" s="2" customFormat="1" x14ac:dyDescent="0.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</row>
    <row r="2169" spans="1:19" s="2" customFormat="1" x14ac:dyDescent="0.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spans="1:19" s="2" customFormat="1" x14ac:dyDescent="0.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</row>
    <row r="2171" spans="1:19" s="2" customFormat="1" x14ac:dyDescent="0.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</row>
    <row r="2172" spans="1:19" s="2" customFormat="1" x14ac:dyDescent="0.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</row>
    <row r="2173" spans="1:19" s="2" customFormat="1" x14ac:dyDescent="0.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</row>
    <row r="2174" spans="1:19" s="2" customFormat="1" x14ac:dyDescent="0.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</row>
    <row r="2175" spans="1:19" s="2" customFormat="1" x14ac:dyDescent="0.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</row>
    <row r="2176" spans="1:19" s="2" customFormat="1" x14ac:dyDescent="0.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</row>
    <row r="2177" spans="2:19" s="2" customFormat="1" x14ac:dyDescent="0.3"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</row>
    <row r="2178" spans="2:19" s="2" customFormat="1" x14ac:dyDescent="0.3"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</row>
    <row r="2179" spans="2:19" s="2" customFormat="1" x14ac:dyDescent="0.3"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</row>
    <row r="2180" spans="2:19" s="2" customFormat="1" x14ac:dyDescent="0.3"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</row>
    <row r="2181" spans="2:19" s="2" customFormat="1" x14ac:dyDescent="0.3"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</row>
    <row r="2182" spans="2:19" s="2" customFormat="1" x14ac:dyDescent="0.3"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</row>
    <row r="2183" spans="2:19" s="2" customFormat="1" x14ac:dyDescent="0.3"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</row>
    <row r="2184" spans="2:19" s="2" customFormat="1" x14ac:dyDescent="0.3"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</row>
    <row r="2185" spans="2:19" s="2" customFormat="1" x14ac:dyDescent="0.3"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</row>
    <row r="2186" spans="2:19" s="2" customFormat="1" x14ac:dyDescent="0.3"/>
    <row r="2187" spans="2:19" s="2" customFormat="1" x14ac:dyDescent="0.3"/>
    <row r="2188" spans="2:19" s="2" customFormat="1" x14ac:dyDescent="0.3"/>
    <row r="2189" spans="2:19" s="2" customFormat="1" x14ac:dyDescent="0.3"/>
    <row r="2190" spans="2:19" s="2" customFormat="1" x14ac:dyDescent="0.3"/>
    <row r="2191" spans="2:19" s="2" customFormat="1" x14ac:dyDescent="0.3"/>
    <row r="2192" spans="2:19" s="2" customFormat="1" x14ac:dyDescent="0.3"/>
    <row r="2193" s="2" customFormat="1" x14ac:dyDescent="0.3"/>
    <row r="2194" s="2" customFormat="1" x14ac:dyDescent="0.3"/>
    <row r="2195" s="2" customFormat="1" x14ac:dyDescent="0.3"/>
    <row r="2196" s="2" customFormat="1" x14ac:dyDescent="0.3"/>
    <row r="2197" s="2" customFormat="1" x14ac:dyDescent="0.3"/>
    <row r="2198" s="2" customFormat="1" x14ac:dyDescent="0.3"/>
    <row r="2199" s="2" customFormat="1" x14ac:dyDescent="0.3"/>
    <row r="2200" s="2" customFormat="1" x14ac:dyDescent="0.3"/>
    <row r="2201" s="2" customFormat="1" x14ac:dyDescent="0.3"/>
    <row r="2202" s="2" customFormat="1" x14ac:dyDescent="0.3"/>
    <row r="2203" s="2" customFormat="1" x14ac:dyDescent="0.3"/>
    <row r="2204" s="2" customFormat="1" x14ac:dyDescent="0.3"/>
    <row r="2205" s="2" customFormat="1" x14ac:dyDescent="0.3"/>
    <row r="2206" s="2" customFormat="1" x14ac:dyDescent="0.3"/>
    <row r="2207" s="2" customFormat="1" x14ac:dyDescent="0.3"/>
    <row r="2208" s="2" customFormat="1" x14ac:dyDescent="0.3"/>
    <row r="2209" s="2" customFormat="1" x14ac:dyDescent="0.3"/>
    <row r="2210" s="2" customFormat="1" x14ac:dyDescent="0.3"/>
    <row r="2211" s="2" customFormat="1" x14ac:dyDescent="0.3"/>
    <row r="2212" s="2" customFormat="1" x14ac:dyDescent="0.3"/>
    <row r="2213" s="2" customFormat="1" x14ac:dyDescent="0.3"/>
    <row r="2214" s="2" customFormat="1" x14ac:dyDescent="0.3"/>
    <row r="2215" s="2" customFormat="1" x14ac:dyDescent="0.3"/>
    <row r="2216" s="2" customFormat="1" x14ac:dyDescent="0.3"/>
    <row r="2217" s="2" customFormat="1" x14ac:dyDescent="0.3"/>
    <row r="2218" s="2" customFormat="1" x14ac:dyDescent="0.3"/>
    <row r="2219" s="2" customFormat="1" x14ac:dyDescent="0.3"/>
    <row r="2220" s="2" customFormat="1" x14ac:dyDescent="0.3"/>
    <row r="2221" s="2" customFormat="1" x14ac:dyDescent="0.3"/>
    <row r="2222" s="2" customFormat="1" x14ac:dyDescent="0.3"/>
    <row r="2223" s="2" customFormat="1" x14ac:dyDescent="0.3"/>
    <row r="2224" s="2" customFormat="1" x14ac:dyDescent="0.3"/>
    <row r="2225" s="2" customFormat="1" x14ac:dyDescent="0.3"/>
    <row r="2226" s="2" customFormat="1" x14ac:dyDescent="0.3"/>
    <row r="2227" s="2" customFormat="1" x14ac:dyDescent="0.3"/>
    <row r="2228" s="2" customFormat="1" x14ac:dyDescent="0.3"/>
    <row r="2229" s="2" customFormat="1" x14ac:dyDescent="0.3"/>
    <row r="2230" s="2" customFormat="1" x14ac:dyDescent="0.3"/>
    <row r="2231" s="2" customFormat="1" x14ac:dyDescent="0.3"/>
    <row r="2232" s="2" customFormat="1" x14ac:dyDescent="0.3"/>
    <row r="2233" s="2" customFormat="1" x14ac:dyDescent="0.3"/>
    <row r="2234" s="2" customFormat="1" x14ac:dyDescent="0.3"/>
    <row r="2235" s="2" customFormat="1" x14ac:dyDescent="0.3"/>
    <row r="2236" s="2" customFormat="1" x14ac:dyDescent="0.3"/>
    <row r="2237" s="2" customFormat="1" x14ac:dyDescent="0.3"/>
    <row r="2238" s="2" customFormat="1" x14ac:dyDescent="0.3"/>
    <row r="2239" s="2" customFormat="1" x14ac:dyDescent="0.3"/>
    <row r="2240" s="2" customFormat="1" x14ac:dyDescent="0.3"/>
    <row r="2241" s="2" customFormat="1" x14ac:dyDescent="0.3"/>
    <row r="2242" s="2" customFormat="1" x14ac:dyDescent="0.3"/>
    <row r="2243" s="2" customFormat="1" x14ac:dyDescent="0.3"/>
    <row r="2244" s="2" customFormat="1" x14ac:dyDescent="0.3"/>
    <row r="2245" s="2" customFormat="1" x14ac:dyDescent="0.3"/>
    <row r="2246" s="2" customFormat="1" x14ac:dyDescent="0.3"/>
    <row r="2247" s="2" customFormat="1" x14ac:dyDescent="0.3"/>
    <row r="2248" s="2" customFormat="1" x14ac:dyDescent="0.3"/>
    <row r="2249" s="2" customFormat="1" x14ac:dyDescent="0.3"/>
    <row r="2250" s="2" customFormat="1" x14ac:dyDescent="0.3"/>
    <row r="2251" s="2" customFormat="1" x14ac:dyDescent="0.3"/>
    <row r="2252" s="2" customFormat="1" x14ac:dyDescent="0.3"/>
    <row r="2253" s="2" customFormat="1" x14ac:dyDescent="0.3"/>
    <row r="2254" s="2" customFormat="1" x14ac:dyDescent="0.3"/>
    <row r="2255" s="2" customFormat="1" x14ac:dyDescent="0.3"/>
    <row r="2256" s="2" customFormat="1" x14ac:dyDescent="0.3"/>
    <row r="2257" s="2" customFormat="1" x14ac:dyDescent="0.3"/>
    <row r="2258" s="2" customFormat="1" x14ac:dyDescent="0.3"/>
    <row r="2259" s="2" customFormat="1" x14ac:dyDescent="0.3"/>
    <row r="2260" s="2" customFormat="1" x14ac:dyDescent="0.3"/>
    <row r="2261" s="2" customFormat="1" x14ac:dyDescent="0.3"/>
    <row r="2262" s="2" customFormat="1" x14ac:dyDescent="0.3"/>
    <row r="2263" s="2" customFormat="1" x14ac:dyDescent="0.3"/>
    <row r="2264" s="2" customFormat="1" x14ac:dyDescent="0.3"/>
    <row r="2265" s="2" customFormat="1" x14ac:dyDescent="0.3"/>
    <row r="2266" s="2" customFormat="1" x14ac:dyDescent="0.3"/>
    <row r="2267" s="2" customFormat="1" x14ac:dyDescent="0.3"/>
    <row r="2268" s="2" customFormat="1" x14ac:dyDescent="0.3"/>
    <row r="2269" s="2" customFormat="1" x14ac:dyDescent="0.3"/>
    <row r="2270" s="2" customFormat="1" x14ac:dyDescent="0.3"/>
    <row r="2271" s="2" customFormat="1" x14ac:dyDescent="0.3"/>
    <row r="2272" s="2" customFormat="1" x14ac:dyDescent="0.3"/>
    <row r="2273" s="2" customFormat="1" x14ac:dyDescent="0.3"/>
    <row r="2274" s="2" customFormat="1" x14ac:dyDescent="0.3"/>
    <row r="2275" s="2" customFormat="1" x14ac:dyDescent="0.3"/>
    <row r="2276" s="2" customFormat="1" x14ac:dyDescent="0.3"/>
    <row r="2277" s="2" customFormat="1" x14ac:dyDescent="0.3"/>
    <row r="2278" s="2" customFormat="1" x14ac:dyDescent="0.3"/>
    <row r="2279" s="2" customFormat="1" x14ac:dyDescent="0.3"/>
    <row r="2280" s="2" customFormat="1" x14ac:dyDescent="0.3"/>
    <row r="2281" s="2" customFormat="1" x14ac:dyDescent="0.3"/>
    <row r="2282" s="2" customFormat="1" x14ac:dyDescent="0.3"/>
    <row r="2283" s="2" customFormat="1" x14ac:dyDescent="0.3"/>
    <row r="2284" s="2" customFormat="1" x14ac:dyDescent="0.3"/>
    <row r="2285" s="2" customFormat="1" x14ac:dyDescent="0.3"/>
    <row r="2286" s="2" customFormat="1" x14ac:dyDescent="0.3"/>
    <row r="2287" s="2" customFormat="1" x14ac:dyDescent="0.3"/>
    <row r="2288" s="2" customFormat="1" x14ac:dyDescent="0.3"/>
    <row r="2289" s="2" customFormat="1" x14ac:dyDescent="0.3"/>
    <row r="2290" s="2" customFormat="1" x14ac:dyDescent="0.3"/>
    <row r="2291" s="2" customFormat="1" x14ac:dyDescent="0.3"/>
    <row r="2292" s="2" customFormat="1" x14ac:dyDescent="0.3"/>
    <row r="2293" s="2" customFormat="1" x14ac:dyDescent="0.3"/>
    <row r="2294" s="2" customFormat="1" x14ac:dyDescent="0.3"/>
    <row r="2295" s="2" customFormat="1" x14ac:dyDescent="0.3"/>
    <row r="2296" s="2" customFormat="1" x14ac:dyDescent="0.3"/>
    <row r="2297" s="2" customFormat="1" x14ac:dyDescent="0.3"/>
    <row r="2298" s="2" customFormat="1" x14ac:dyDescent="0.3"/>
    <row r="2299" s="2" customFormat="1" x14ac:dyDescent="0.3"/>
    <row r="2300" s="2" customFormat="1" x14ac:dyDescent="0.3"/>
    <row r="2301" s="2" customFormat="1" x14ac:dyDescent="0.3"/>
    <row r="2302" s="2" customFormat="1" x14ac:dyDescent="0.3"/>
    <row r="2303" s="2" customFormat="1" x14ac:dyDescent="0.3"/>
    <row r="2304" s="2" customFormat="1" x14ac:dyDescent="0.3"/>
    <row r="2305" s="2" customFormat="1" x14ac:dyDescent="0.3"/>
    <row r="2306" s="2" customFormat="1" x14ac:dyDescent="0.3"/>
    <row r="2307" s="2" customFormat="1" x14ac:dyDescent="0.3"/>
    <row r="2308" s="2" customFormat="1" x14ac:dyDescent="0.3"/>
    <row r="2309" s="2" customFormat="1" x14ac:dyDescent="0.3"/>
    <row r="2310" s="2" customFormat="1" x14ac:dyDescent="0.3"/>
    <row r="2311" s="2" customFormat="1" x14ac:dyDescent="0.3"/>
    <row r="2312" s="2" customFormat="1" x14ac:dyDescent="0.3"/>
    <row r="2313" s="2" customFormat="1" x14ac:dyDescent="0.3"/>
    <row r="2314" s="2" customFormat="1" x14ac:dyDescent="0.3"/>
    <row r="2315" s="2" customFormat="1" x14ac:dyDescent="0.3"/>
    <row r="2316" s="2" customFormat="1" x14ac:dyDescent="0.3"/>
    <row r="2317" s="2" customFormat="1" x14ac:dyDescent="0.3"/>
    <row r="2318" s="2" customFormat="1" x14ac:dyDescent="0.3"/>
    <row r="2319" s="2" customFormat="1" x14ac:dyDescent="0.3"/>
    <row r="2320" s="2" customFormat="1" x14ac:dyDescent="0.3"/>
    <row r="2321" s="2" customFormat="1" x14ac:dyDescent="0.3"/>
    <row r="2322" s="2" customFormat="1" x14ac:dyDescent="0.3"/>
    <row r="2323" s="2" customFormat="1" x14ac:dyDescent="0.3"/>
    <row r="2324" s="2" customFormat="1" x14ac:dyDescent="0.3"/>
    <row r="2325" s="2" customFormat="1" x14ac:dyDescent="0.3"/>
    <row r="2326" s="2" customFormat="1" x14ac:dyDescent="0.3"/>
    <row r="2327" s="2" customFormat="1" x14ac:dyDescent="0.3"/>
    <row r="2328" s="2" customFormat="1" x14ac:dyDescent="0.3"/>
    <row r="2329" s="2" customFormat="1" x14ac:dyDescent="0.3"/>
    <row r="2330" s="2" customFormat="1" x14ac:dyDescent="0.3"/>
    <row r="2331" s="2" customFormat="1" x14ac:dyDescent="0.3"/>
    <row r="2332" s="2" customFormat="1" x14ac:dyDescent="0.3"/>
    <row r="2333" s="2" customFormat="1" x14ac:dyDescent="0.3"/>
    <row r="2334" s="2" customFormat="1" x14ac:dyDescent="0.3"/>
    <row r="2335" s="2" customFormat="1" x14ac:dyDescent="0.3"/>
    <row r="2336" s="2" customFormat="1" x14ac:dyDescent="0.3"/>
    <row r="2337" spans="1:19" s="2" customFormat="1" x14ac:dyDescent="0.3"/>
    <row r="2338" spans="1:19" s="2" customFormat="1" x14ac:dyDescent="0.3"/>
    <row r="2339" spans="1:19" s="2" customFormat="1" x14ac:dyDescent="0.3"/>
    <row r="2340" spans="1:19" s="2" customFormat="1" x14ac:dyDescent="0.3"/>
    <row r="2341" spans="1:19" s="2" customFormat="1" x14ac:dyDescent="0.3"/>
    <row r="2342" spans="1:19" s="2" customFormat="1" x14ac:dyDescent="0.3"/>
    <row r="2343" spans="1:19" s="2" customFormat="1" x14ac:dyDescent="0.3"/>
    <row r="2344" spans="1:19" s="2" customFormat="1" x14ac:dyDescent="0.3"/>
    <row r="2345" spans="1:19" s="2" customFormat="1" x14ac:dyDescent="0.3"/>
    <row r="2346" spans="1:19" s="2" customFormat="1" x14ac:dyDescent="0.3"/>
    <row r="2347" spans="1:19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</row>
    <row r="2348" spans="1:19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</row>
    <row r="2349" spans="1:19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</row>
    <row r="2350" spans="1:19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</row>
    <row r="2351" spans="1:19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</row>
    <row r="2352" spans="1:19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</row>
    <row r="2353" spans="1:19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</row>
    <row r="2354" spans="1:19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</row>
    <row r="2355" spans="1:19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</row>
    <row r="2356" spans="1:19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</row>
    <row r="2357" spans="1:19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</row>
    <row r="2358" spans="1:19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</row>
    <row r="2359" spans="1:19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</row>
    <row r="2360" spans="1:19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</row>
    <row r="2361" spans="1:19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</row>
    <row r="2362" spans="1:19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</row>
    <row r="2363" spans="1:19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</row>
    <row r="2364" spans="1:19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</row>
    <row r="2365" spans="1:19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</row>
    <row r="2366" spans="1:19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</row>
    <row r="2367" spans="1:19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</row>
    <row r="2368" spans="1:19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</row>
    <row r="2369" spans="1:19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</row>
    <row r="2370" spans="1:19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</row>
    <row r="2371" spans="1:19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</row>
    <row r="2372" spans="1:19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</row>
    <row r="2373" spans="1:19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</row>
    <row r="2374" spans="1:19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</row>
    <row r="2375" spans="1:19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</row>
    <row r="2376" spans="1:19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</row>
    <row r="2377" spans="1:19" x14ac:dyDescent="0.3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</row>
    <row r="2378" spans="1:19" x14ac:dyDescent="0.3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</row>
    <row r="2379" spans="1:19" x14ac:dyDescent="0.3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</row>
    <row r="2380" spans="1:19" x14ac:dyDescent="0.3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</row>
    <row r="2381" spans="1:19" x14ac:dyDescent="0.3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</row>
    <row r="2382" spans="1:19" x14ac:dyDescent="0.3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</row>
    <row r="2383" spans="1:19" x14ac:dyDescent="0.3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</row>
    <row r="2384" spans="1:19" x14ac:dyDescent="0.3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</row>
    <row r="2385" spans="2:19" x14ac:dyDescent="0.3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11:S11">
    <cfRule type="expression" dxfId="16" priority="17" stopIfTrue="1">
      <formula>B11&lt;&gt;SUM(B13:B29)</formula>
    </cfRule>
  </conditionalFormatting>
  <conditionalFormatting sqref="B12:S12 B32:S32 B42:S42 B49:S49 B57:S57 B69:S69 B78:S78 B87:S87 B96:S96 B105:S105 B112:S112 B120:S120 B130:S130 B138:S138 B148:S148 B157:S157 B165:S165 B174:S174">
    <cfRule type="cellIs" dxfId="15" priority="1" stopIfTrue="1" operator="between">
      <formula>0.0000001</formula>
      <formula>0.05</formula>
    </cfRule>
  </conditionalFormatting>
  <conditionalFormatting sqref="B31:S31">
    <cfRule type="expression" dxfId="14" priority="16" stopIfTrue="1">
      <formula>B31&lt;&gt;SUM(B33:B39)</formula>
    </cfRule>
  </conditionalFormatting>
  <conditionalFormatting sqref="B41:S41">
    <cfRule type="expression" dxfId="13" priority="15" stopIfTrue="1">
      <formula>B41&lt;&gt;SUM(B43:B46)</formula>
    </cfRule>
  </conditionalFormatting>
  <conditionalFormatting sqref="B48:S48">
    <cfRule type="expression" dxfId="12" priority="14" stopIfTrue="1">
      <formula>B48&lt;&gt;SUM(B50:B54)</formula>
    </cfRule>
  </conditionalFormatting>
  <conditionalFormatting sqref="B56:S56">
    <cfRule type="expression" dxfId="11" priority="13" stopIfTrue="1">
      <formula>B56&lt;&gt;SUM(B58:B66)</formula>
    </cfRule>
  </conditionalFormatting>
  <conditionalFormatting sqref="B68:S68">
    <cfRule type="expression" dxfId="10" priority="12" stopIfTrue="1">
      <formula>B68&lt;&gt;SUM(B70:B75)</formula>
    </cfRule>
  </conditionalFormatting>
  <conditionalFormatting sqref="B77:S77">
    <cfRule type="expression" dxfId="9" priority="11" stopIfTrue="1">
      <formula>B77&lt;&gt;SUM(B79:B84)</formula>
    </cfRule>
  </conditionalFormatting>
  <conditionalFormatting sqref="B95:S95">
    <cfRule type="expression" dxfId="8" priority="29" stopIfTrue="1">
      <formula>B95&lt;&gt;SUM(B97:B102)</formula>
    </cfRule>
  </conditionalFormatting>
  <conditionalFormatting sqref="B111:S111">
    <cfRule type="expression" dxfId="7" priority="31" stopIfTrue="1">
      <formula>B111&lt;&gt;SUM(B113:B117)</formula>
    </cfRule>
  </conditionalFormatting>
  <conditionalFormatting sqref="B119:S119">
    <cfRule type="expression" dxfId="6" priority="8" stopIfTrue="1">
      <formula>B119&lt;&gt;SUM(B121:B127)</formula>
    </cfRule>
  </conditionalFormatting>
  <conditionalFormatting sqref="B129:S129">
    <cfRule type="expression" dxfId="5" priority="7" stopIfTrue="1">
      <formula>B129&lt;&gt;SUM(B131:B135)</formula>
    </cfRule>
  </conditionalFormatting>
  <conditionalFormatting sqref="B137:S137">
    <cfRule type="expression" dxfId="4" priority="6" stopIfTrue="1">
      <formula>B137&lt;&gt;SUM(B139:B145)</formula>
    </cfRule>
  </conditionalFormatting>
  <conditionalFormatting sqref="B147:S147">
    <cfRule type="expression" dxfId="3" priority="5" stopIfTrue="1">
      <formula>B147&lt;&gt;SUM(B149:B154)</formula>
    </cfRule>
  </conditionalFormatting>
  <conditionalFormatting sqref="B156:S156">
    <cfRule type="expression" dxfId="2" priority="4" stopIfTrue="1">
      <formula>B156&lt;&gt;SUM(B158:B162)</formula>
    </cfRule>
  </conditionalFormatting>
  <conditionalFormatting sqref="B164:S164">
    <cfRule type="expression" dxfId="1" priority="3" stopIfTrue="1">
      <formula>B164&lt;&gt;SUM(B166:B171)</formula>
    </cfRule>
  </conditionalFormatting>
  <conditionalFormatting sqref="B173:S173">
    <cfRule type="expression" dxfId="0" priority="2" stopIfTrue="1">
      <formula>B173&lt;&gt;SUM(B175:B181)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Table8.0</vt:lpstr>
      <vt:lpstr>Table8.0!Print_Titles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2026-02-13T06:01:53Z</dcterms:modified>
</cp:coreProperties>
</file>